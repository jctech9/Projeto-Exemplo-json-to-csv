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APA 1. DADOS DO PROCESSO" sheetId="1" r:id="rId4"/>
    <sheet state="visible" name="ETAPA 2. IDENTIFICAÇÃO DE EVENT" sheetId="2" r:id="rId5"/>
    <sheet state="visible" name="ETAPA 3. AVALIAÇÃO DE RISCOS" sheetId="3" r:id="rId6"/>
    <sheet state="visible" name="ETAPA 4. RESPOSTA AOS RISCOS" sheetId="4" r:id="rId7"/>
    <sheet state="visible" name="ETAPA 5. ATIVIDADES DE CONTROLE" sheetId="5" r:id="rId8"/>
    <sheet state="visible" name="OCORRÊNCIAS DE RISCO" sheetId="6" r:id="rId9"/>
    <sheet state="visible" name="Lista de Siglas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Alinhar os objetivos ao Mapa Estratégico.
https://pdi.ufc.br/pt/o-pdi-da-ufc/o-plano-de-desenvolvimento-institucional-2023-2027/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Evento de risco: evento que pode evitar, atrasar,
prejudicar ou impedir o cumprimento dos objetivos
identificados na Etapa 1 (Fixação de Objetivos)
======</t>
      </text>
    </comment>
    <comment authorId="0" ref="D2">
      <text>
        <t xml:space="preserve">Tipo do risco: indica se o evento de risco é uma
oportunidade ou uma ameaça
======</t>
      </text>
    </comment>
    <comment authorId="0" ref="E2">
      <text>
        <t xml:space="preserve">Categoria do Risco: diz respeito à origem dos fatores
que influenciam o evento de risco, de acordo com a
Política de Gestão de Riscos da UFC
======</t>
      </text>
    </comment>
    <comment authorId="0" ref="F2">
      <text>
        <t xml:space="preserve">Os tipos de riscos para a integridade apontados pela CGU (2018) como mais relevantes e comuns nas organizações públicas.
======</t>
      </text>
    </comment>
    <comment authorId="0" ref="G2">
      <text>
        <t xml:space="preserve">Causas do risco: fatores que desencadeiam a ocorrência
do evento de risco.
======</t>
      </text>
    </comment>
    <comment authorId="0" ref="H2">
      <text>
        <t xml:space="preserve">Consequências do risco: possíveis efeitos da ocorrência
do evento de risco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Probabilidade: chance de ocorrência de um determinado
evento de risco
======</t>
      </text>
    </comment>
    <comment authorId="0" ref="D2">
      <text>
        <t xml:space="preserve">Impacto: avaliação da magnitude da ocorrência do
evento perante os objetivos estratégicos da organização
======</t>
      </text>
    </comment>
    <comment authorId="0" ref="F2">
      <text>
        <t xml:space="preserve">Risco Inerente = Probabilidade X Impacto
======</t>
      </text>
    </comment>
    <comment authorId="0" ref="H2">
      <text>
        <t xml:space="preserve">Ações preventivas: medidas que visam diminuir
a probabilidade de ocorrência do evento;
======</t>
      </text>
    </comment>
    <comment authorId="0" ref="I2">
      <text>
        <t xml:space="preserve">Ações de contingência: ações imediatas que
devem ser executadas em caso de ocorrência
do evento, com o objetivo de atenuar seu
impacto (consequências).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Para cada risco priorizado deve ser selecionada
uma opção de tratamento. Essa escolha depende do nível do
risco e dos custos associados à implementação dos controles,
conforme Quadro 14 do Plano de Gestão de Risco (PGR). 
https://secretariadegovernanca.ufc.br/wp-content/uploads/2020/08/plano-de-gestAo-de-riscos.pdf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Responsável pela implementação das medidas de tratamento, esse deve ser um servidor ou o cargo cujo designado seja automaticamente associado ao Plano de Tratamento
======</t>
      </text>
    </comment>
    <comment authorId="0" ref="D2">
      <text>
        <t xml:space="preserve">Data prevista para o início da implementação
======</t>
      </text>
    </comment>
    <comment authorId="0" ref="G2">
      <text>
        <t xml:space="preserve">Ações preventivas: medidas que visam diminuir
a probabilidade de ocorrência do evento
======</t>
      </text>
    </comment>
    <comment authorId="0" ref="H2">
      <text>
        <t xml:space="preserve">Monitoramento: periodicidade e/ou mecanismos
adotados para verificar a implementação das
ações
======</t>
      </text>
    </comment>
    <comment authorId="0" ref="I2">
      <text>
        <t xml:space="preserve">Gatilho: situação que determina o início das
ações de contingência
======</t>
      </text>
    </comment>
    <comment authorId="0" ref="J2">
      <text>
        <t xml:space="preserve">Ações de contingência: ações imediatas que
devem ser executadas em caso de ocorrência
do evento, com o objetivo de atenuar seu
impacto (consequências)
======</t>
      </text>
    </comment>
    <comment authorId="0" ref="K2">
      <text>
        <t xml:space="preserve">Responsável pela implementação das medidas de contingência, este deve ser um servidor ou o cargo cujo designado seja automaticamente associado ao Plano de contingência que deve ser imediatamente comunicado em caso de ocorrência do risco para que possa demandar a execução das ações de contingência.
======</t>
      </text>
    </comment>
  </commentList>
</comments>
</file>

<file path=xl/sharedStrings.xml><?xml version="1.0" encoding="utf-8"?>
<sst xmlns="http://schemas.openxmlformats.org/spreadsheetml/2006/main" count="336" uniqueCount="218">
  <si>
    <t xml:space="preserve"> </t>
  </si>
  <si>
    <t>Unidade:</t>
  </si>
  <si>
    <t>Setor:</t>
  </si>
  <si>
    <t>Responsável pelo gerenciamento:</t>
  </si>
  <si>
    <t>Processos</t>
  </si>
  <si>
    <r>
      <rPr>
        <rFont val="Arial"/>
        <b/>
        <color theme="1"/>
        <sz val="12.0"/>
      </rPr>
      <t xml:space="preserve">Processo
</t>
    </r>
    <r>
      <rPr>
        <rFont val="Arial"/>
        <i/>
        <color theme="1"/>
        <sz val="12.0"/>
      </rPr>
      <t>(indicar)</t>
    </r>
  </si>
  <si>
    <r>
      <rPr>
        <rFont val="Arial"/>
        <b/>
        <color theme="1"/>
        <sz val="12.0"/>
      </rPr>
      <t xml:space="preserve">Objetivos do Processo (Geral e específicos)
</t>
    </r>
    <r>
      <rPr>
        <rFont val="Arial"/>
        <i/>
        <color theme="1"/>
        <sz val="12.0"/>
      </rPr>
      <t>(descrever)</t>
    </r>
  </si>
  <si>
    <t>Evento de entrega de diplomas de conclusão de curso</t>
  </si>
  <si>
    <t>Realizar o evento de entrega de diplomas de conclusão de curso de forma solene, segura e eficiente, garantindo que todos os formandos aptos recebam seu diploma em um prazo estabelecido, promovendo a satisfação da comunidade acadêmica e a imagem institucional da UFC.</t>
  </si>
  <si>
    <t>Processo</t>
  </si>
  <si>
    <t>Fase</t>
  </si>
  <si>
    <r>
      <rPr>
        <rFont val="Arial"/>
        <b/>
        <color theme="1"/>
        <sz val="12.0"/>
      </rPr>
      <t xml:space="preserve">Evento de Risco
</t>
    </r>
    <r>
      <rPr>
        <rFont val="Arial"/>
        <i/>
        <color theme="1"/>
        <sz val="12.0"/>
      </rPr>
      <t>(indicar)</t>
    </r>
  </si>
  <si>
    <t>Tipo de Risco</t>
  </si>
  <si>
    <t>Categoria</t>
  </si>
  <si>
    <t>Tipo de Risco de Integridade</t>
  </si>
  <si>
    <r>
      <rPr>
        <rFont val="Arial"/>
        <b/>
        <color theme="1"/>
        <sz val="12.0"/>
      </rPr>
      <t xml:space="preserve">Causas
</t>
    </r>
    <r>
      <rPr>
        <rFont val="Arial"/>
        <i/>
        <color theme="1"/>
        <sz val="12.0"/>
      </rPr>
      <t>(descrever)</t>
    </r>
  </si>
  <si>
    <r>
      <rPr>
        <rFont val="Arial"/>
        <b/>
        <color theme="1"/>
        <sz val="12.0"/>
      </rPr>
      <t xml:space="preserve">Consequências
</t>
    </r>
    <r>
      <rPr>
        <rFont val="Arial"/>
        <i/>
        <color theme="1"/>
        <sz val="12.0"/>
      </rPr>
      <t>(descrever)</t>
    </r>
  </si>
  <si>
    <t>Planejamento</t>
  </si>
  <si>
    <t>Imediato</t>
  </si>
  <si>
    <t>Entrega de diploma com dados incorretos (ex: nome do curso, data, nome do aluno).</t>
  </si>
  <si>
    <t>Ameaça</t>
  </si>
  <si>
    <t>Integridade</t>
  </si>
  <si>
    <t>Fraude</t>
  </si>
  <si>
    <t>Falha humana na conferência final dos dados antes da impressão.</t>
  </si>
  <si>
    <t>Necessidade de reimpressão, gerando custos adicionais e desperdício de tempo.</t>
  </si>
  <si>
    <t>Não comparecimento (ausência) da autoridade máxima (Reitor/Diretor) na data marcada.</t>
  </si>
  <si>
    <t>Imagem/reputação</t>
  </si>
  <si>
    <t>Desvio de Conduta</t>
  </si>
  <si>
    <t>Conflito de agenda não comunicado ou não priorizado na fase de planejamento e agendamento.</t>
  </si>
  <si>
    <t>Perda da solenidade do evento, redução do prestígio institucional e frustração dos formandos.</t>
  </si>
  <si>
    <t>Superlotação do local, excedendo a capacidade de segurança e conforto (falha no controle de convites).</t>
  </si>
  <si>
    <t>Operacionais</t>
  </si>
  <si>
    <t>Cálculo incorreto da capacidade máxima ou falha na distribuição/controle de convites por formando.</t>
  </si>
  <si>
    <t>Risco de segurança e pânico, necessidade de interrupção ou restrição de entrada, e multas por descumprimento de normas de segurança.</t>
  </si>
  <si>
    <t>Entrega do diploma ao formando errado devido à falha de identificação no momento da retirada.</t>
  </si>
  <si>
    <t>Corrupção</t>
  </si>
  <si>
    <t>Falta de um protocolo rigoroso de identificação (ex: exigência de documento com foto) no ponto de entrega.</t>
  </si>
  <si>
    <t>Diploma valioso entregue à pessoa errada, necessidade de reemissão (custo e atraso) e risco de extravio de documento.</t>
  </si>
  <si>
    <t>Abuso de posição ou poder em favor de interesses privados</t>
  </si>
  <si>
    <t>Tentativa de fraude (colação de grau por procuração falsa ou retirada de diploma por terceiros não autorizados).</t>
  </si>
  <si>
    <t>Ausência de verificação da autenticidade da procuração ou de cruzamento de dados de identidade no ato da retirada.</t>
  </si>
  <si>
    <t>Entrega indevida de documento público, risco de processo judicial e dano irreparável à integridade do processo de formatura.</t>
  </si>
  <si>
    <t>Nepotismo</t>
  </si>
  <si>
    <t>Falha técnica nos equipamentos de som ou projeção durante a solenidade (microfones, telões, iluminação).</t>
  </si>
  <si>
    <t>Falta de um check-list de testes e walk-through antes do evento e uso de equipamentos sem manutenção preventiva.</t>
  </si>
  <si>
    <t>Interrupção do evento, dificuldades na comunicação com o público e percepção de amadorismo na organização.</t>
  </si>
  <si>
    <t>Conflito de Interesses</t>
  </si>
  <si>
    <t>O número de diplomas prontos para entrega é menor que o número de formandos aptos confirmados.</t>
  </si>
  <si>
    <t>Erro na contagem final dos formandos aptos ou atraso na fase de impressão e registro da documentação final.</t>
  </si>
  <si>
    <t>Um grupo de formandos fica sem o diploma no dia, gerando frustração, indignação e necessidade de organizar uma entrega posterior urgente.</t>
  </si>
  <si>
    <t>Pressão Interna ou Externa Ilegal ou Antiética para influenciar agente público</t>
  </si>
  <si>
    <t>Divulgação de notícias negativas ou reclamações públicas (ex: em redes sociais) sobre a má organização ou atrasos excessivos.</t>
  </si>
  <si>
    <t>Má gestão do tempo no cronograma do evento ou falta de comunicação clara com o público sobre os atrasos.</t>
  </si>
  <si>
    <t>Dano significativo e viral à imagem e reputação da UFC na mídia e redes sociais.</t>
  </si>
  <si>
    <t>Solicitação ou recebimento de vantagem indevida</t>
  </si>
  <si>
    <t>Ocorrência de acidentes ou incidentes físicos com convidados ou formandos nas dependências do local do evento.</t>
  </si>
  <si>
    <t>Falha na inspeção de segurança do local (ex: piso escorregadio) ou ausência de equipe de primeiros socorros.</t>
  </si>
  <si>
    <t>Lesões ou danos à saúde de convidados, interrupção do evento e responsabilidade civil da instituição.</t>
  </si>
  <si>
    <t>Utilização de recursos em favor de interesses privados</t>
  </si>
  <si>
    <t>Atraso na liberação ou entrega do espaço físico (auditório/teatro) para a montagem no dia do evento.</t>
  </si>
  <si>
    <t>Conflito de agendamento do espaço com outro evento anterior ou atraso na liberação pela equipe do local.</t>
  </si>
  <si>
    <t>Atraso no início da solenidade, execução apressada da montagem e possíveis falhas operacionais devido à falta de tempo de teste.</t>
  </si>
  <si>
    <t>Avaliação dos Riscos</t>
  </si>
  <si>
    <t>Avaliação dos Controles</t>
  </si>
  <si>
    <t>Risco Residual</t>
  </si>
  <si>
    <t>Evento de Risco</t>
  </si>
  <si>
    <t>Probabilidade</t>
  </si>
  <si>
    <t>P</t>
  </si>
  <si>
    <t>Impacto</t>
  </si>
  <si>
    <t>I</t>
  </si>
  <si>
    <t>Risco Inerente
(PxI)</t>
  </si>
  <si>
    <t>Classificação do Risco Inerente</t>
  </si>
  <si>
    <r>
      <rPr>
        <rFont val="Arial"/>
        <b/>
        <color theme="1"/>
        <sz val="12.0"/>
      </rPr>
      <t xml:space="preserve">Controles Preventivos
</t>
    </r>
    <r>
      <rPr>
        <rFont val="Arial"/>
        <i/>
        <color theme="1"/>
        <sz val="12.0"/>
      </rPr>
      <t>(descrever)</t>
    </r>
  </si>
  <si>
    <r>
      <rPr>
        <rFont val="Arial"/>
        <b/>
        <color theme="1"/>
        <sz val="12.0"/>
      </rPr>
      <t xml:space="preserve">Controles de atenuação e recuperação
</t>
    </r>
    <r>
      <rPr>
        <rFont val="Arial"/>
        <i/>
        <color theme="1"/>
        <sz val="12.0"/>
      </rPr>
      <t>(descrever)</t>
    </r>
  </si>
  <si>
    <t>FAC</t>
  </si>
  <si>
    <t>Classificação do Risco Residual</t>
  </si>
  <si>
    <t>Data da Última Avaliação</t>
  </si>
  <si>
    <t>Média</t>
  </si>
  <si>
    <t>Muito alto</t>
  </si>
  <si>
    <t>Mediano</t>
  </si>
  <si>
    <t>Alta</t>
  </si>
  <si>
    <t>O controle preventivo para o risco de diploma incorreto consiste em implementar um Protocolo de Validação Tripla, atuando em múltiplas barreiras antes da impressão final. Este protocolo exige que o sistema realize uma validação sistêmica cruzada automática contra os registros acadêmicos oficiais, seguida por uma validação humana e setorial (conferência manual por um funcionário em um checklist assinado) e, crucialmente, pelo Aceite Final Obrigatório do Formando, que deve assinar um termo de "De Acordo" confirmando a exatidão de todos os seus dados antes que a impressão do documento final seja liberada.</t>
  </si>
  <si>
    <t>Atenuação: Guichê de Atendimento Rápido no local para registrar o erro. Recuperação: Priorizar o processo de reemissão em prazo máximo reduzido (ex: 15 dias).</t>
  </si>
  <si>
    <t>Forte</t>
  </si>
  <si>
    <t>Alto</t>
  </si>
  <si>
    <t>Definir e confirmar, com antecedência de 90 dias, o nome da autoridade substituta (Vice-Reitor ou Pró-Reitor) e incluí-lo no cerimonial de backup.</t>
  </si>
  <si>
    <t>Atenuação: Anunciar a substituição no início do evento com ênfase no motivo. Recuperação: Enviar carta formal e vídeo da autoridade ausente aos formandos, reconhecendo a importância da solenidade.</t>
  </si>
  <si>
    <t>Emitir convites com QR code ou numeração rastreável, limitando rigorosamente a emissão à capacidade do local. Implementar controle de acesso digital na entrada.</t>
  </si>
  <si>
    <t>Atenuação: Designar equipe de segurança para lidar com a porta, comunicando que o limite foi atingido. Recuperação: Oferecer transmissão por streaming ao vivo para convidados barrados.</t>
  </si>
  <si>
    <t>Muito alta</t>
  </si>
  <si>
    <t>Exigir documento de identidade oficial com foto no ato da entrega e implementar sistema de dupla checagem (lê o RG, lê o QR code do diploma) antes da retirada.</t>
  </si>
  <si>
    <t>Atenuação: Interromper imediatamente a fila de entrega ao notar o erro. Recuperação: Acionar imediatamente a apólice de seguro contra extravio/roubo e iniciar o processo de reemissão.</t>
  </si>
  <si>
    <t>Satisfatório</t>
  </si>
  <si>
    <t>Criar um cadastro prévio de procurações com verificação de autenticidade (via cartório/sistema). Exigir autenticação rigorosa de todas as identidades (formando ou procurador) no local.</t>
  </si>
  <si>
    <t>Atenuação: Acionar a segurança interna para isolar o indivíduo suspeito e notificar a autoridade competente (polícia civil/setor jurídico). Recuperação: Documentar a tentativa de fraude para fins legais e revisar o protocolo de segurança.</t>
  </si>
  <si>
    <t>Realizar teste de som e projeção completo (walk-through) 2 horas antes do evento. Ter equipamento de backup essenciais (microfones e cabos) prontamente disponíveis.</t>
  </si>
  <si>
    <t>Atenuação: Acionar o plano B (microfone de mão de backup ou projetor reserva) em menos de 5 minutos. Recuperação: Comunicar o público com calma e retomar a solenidade usando o equipamento reserva o mais rápido possível.</t>
  </si>
  <si>
    <t>Otimizar o protocolo de conferência de aptidão para reduzir a chance de erro de contagem final. Criar uma lista de urgência (Formandos Aptos) 48h antes do evento.</t>
  </si>
  <si>
    <t>Atenuação: Chamar apenas os formandos cujos diplomas estão presentes, comunicando os ausentes com extrema discrição e oferecendo um canal prioritário de contato. Recuperação: Iniciar imediatamente a impressão urgente dos diplomas faltantes.</t>
  </si>
  <si>
    <t>Elaborar um Plano de Comunicação e Crise, incluindo mensagens (scripts) de resposta rápida e padronizadas para social media e imprensa.</t>
  </si>
  <si>
    <t>Atenuação: Responder de forma empática e transparente em até 2 horas nas redes sociais, canalizando a reclamação para um contato privado. Recuperação: Publicar uma nota oficial de esclarecimento e pedido de desculpas pela autoridade máxima, detalhando as medidas corretivas tomadas.</t>
  </si>
  <si>
    <t>Realizar inspeção de segurança prévia no local (pisos, iluminação, saídas de emergência) e exigir a presença de uma equipe de primeiros socorros/bombeiros durante todo o evento.</t>
  </si>
  <si>
    <t>Atenuação: Prestar o primeiro socorro imediatamente, isolar a área do acidente e garantir que o restante do evento possa prosseguir sem interrupção. Recuperação: Acionar o seguro de responsabilidade civil, preencher o relatório de ocorrência e acompanhar o estado de saúde da vítima.</t>
  </si>
  <si>
    <t>Baixa</t>
  </si>
  <si>
    <t>Incluir cláusulas contratuais rigorosas com o fornecedor do espaço que preveem multas por atraso na entrega/liberação. Agendar o espaço com uma folga de 4 horas antes do horário de montagem.</t>
  </si>
  <si>
    <t>Atenuação: Utilizar o tempo de buffer para manter o cronograma. Recuperação: Negociar com o fornecedor do espaço compensações e mobilizar uma equipe extra de montagem para acelerar o processo e minimizar o atraso no início do evento.</t>
  </si>
  <si>
    <t>Inexistente</t>
  </si>
  <si>
    <t>Resposta aos Riscos</t>
  </si>
  <si>
    <t>Opção de Tratamento</t>
  </si>
  <si>
    <t>Justificativa da escolha da opção de tratamento</t>
  </si>
  <si>
    <t>Mitigar</t>
  </si>
  <si>
    <t>Economia: Evitar os altos custos e o retrabalho de reimprimir, reemitir e registrar diplomas errados; Reputação: Proteger a credibilidade da UFC e a satisfação dos formandos; Legalidade: Garantir que o diploma seja válido legalmente, evitando problemas futuros para o aluno e a instituição.</t>
  </si>
  <si>
    <t>Aceitar</t>
  </si>
  <si>
    <t>O custo/esforço de garantir 100% da presença é alto. O impacto é gerenciável (pode ser substituído pelo Vice ou outra autoridade), aceitando-se a perda de prestígio.</t>
  </si>
  <si>
    <t>Evitar</t>
  </si>
  <si>
    <t>O risco de segurança física e multas é inaceitável. Deve-se eliminar a causa, garantindo um controle rigoroso de convites que não exceda a capacidade do local.</t>
  </si>
  <si>
    <t>Compartilhar</t>
  </si>
  <si>
    <t>O impacto financeiro de um extravio pode ser transferido parcialmente para um seguro (para extravios maiores) ou compartilhado com a empresa terceirizada responsável pela entrega e conferência de documentos.</t>
  </si>
  <si>
    <t>O risco à integridade e a possível responsabilidade legal são altos. A mitigação (protocolos de autenticação) é necessária para proteger a validade jurídica do processo.</t>
  </si>
  <si>
    <t>O impacto é temporário e o custo de ter sistemas de backup completos (redundância total) para tudo pode ser muito alto, sendo mais eficiente aceitar o risco e ter ações de recuperação rápidas.</t>
  </si>
  <si>
    <t>Embora cause frustração, o custo da urgência e do esforço logístico extra de produzir 100% de backup físico é alto. A mitigação de erro humano (conferência tripla de aptos) é a prioridade, aceitando-se o risco residual.</t>
  </si>
  <si>
    <t>O dano reputacional é de alto impacto e longo prazo. Ações de mitigação (ex: comunicação e gerenciamento de crises) são essenciais para reduzir a velocidade e o alcance das reclamações.</t>
  </si>
  <si>
    <t>O risco de danos físicos graves aos convidados ou formandos e a responsabilidade civil são inaceitáveis. Deve-se eliminar a causa (ex: inspecionando o local e exigindo laudos de segurança).</t>
  </si>
  <si>
    <t>O atraso afeta todo o cronograma e a qualidade da montagem. A mitigação (ex: cláusulas contratuais rígidas e pré-agendamento de folga) é necessária para reduzir a probabilidade de ocorrência.</t>
  </si>
  <si>
    <t>Plano de Tratamento</t>
  </si>
  <si>
    <t>Plano de Contingência</t>
  </si>
  <si>
    <t>Responsável pelo Tratamento</t>
  </si>
  <si>
    <t>Data prevista para início da implementação</t>
  </si>
  <si>
    <t>Data prevista para o fim da implementação</t>
  </si>
  <si>
    <t>Status</t>
  </si>
  <si>
    <t>Ações preventivas</t>
  </si>
  <si>
    <t>Monitoramento</t>
  </si>
  <si>
    <r>
      <rPr>
        <rFont val="Arial"/>
        <b/>
        <color theme="1"/>
        <sz val="12.0"/>
      </rPr>
      <t xml:space="preserve">Gatilho
</t>
    </r>
    <r>
      <rPr>
        <rFont val="Arial"/>
        <b val="0"/>
        <i/>
        <color theme="1"/>
        <sz val="12.0"/>
      </rPr>
      <t>(descrever)</t>
    </r>
  </si>
  <si>
    <r>
      <rPr>
        <rFont val="Arial"/>
        <b/>
        <color theme="1"/>
        <sz val="12.0"/>
      </rPr>
      <t xml:space="preserve">Ações de Contingência
</t>
    </r>
    <r>
      <rPr>
        <rFont val="Arial"/>
        <b val="0"/>
        <i/>
        <color theme="1"/>
        <sz val="12.0"/>
      </rPr>
      <t>(descrever)</t>
    </r>
  </si>
  <si>
    <t>Responsável</t>
  </si>
  <si>
    <t>João Silva</t>
  </si>
  <si>
    <t>Não implementado</t>
  </si>
  <si>
    <t>Implementar Protocolo de Validação Tripla (Sistema + Setores + Aceite formal do Formando) antes da impressão.</t>
  </si>
  <si>
    <t>Frequência de Erros: Monitorar o número de erros detectados durante as etapas de validação (antes da impressão).</t>
  </si>
  <si>
    <t>Identificação de Erro: Formando notifica o erro no diploma durante ou logo após o evento.</t>
  </si>
  <si>
    <t>Atenuação: Guichê de Atendimento Rápido para registrar o erro. Recuperação: Priorizar o processo de reemissão em prazo máximo reduzido (ex: 15 dias).</t>
  </si>
  <si>
    <t>Definir e confirmar, com antecedência de 90 dias, a autoridade substituta e incluí-la no cerimonial de backup.</t>
  </si>
  <si>
    <t>Confirmação de Presença: Acompanhar o status da agenda da autoridade máxima e do substituto (check diário na semana do evento).</t>
  </si>
  <si>
    <t>Ausência Confirmada: A autoridade máxima ou seu gabinete informa a ausência com menos de 24 horas de antecedência.</t>
  </si>
  <si>
    <t>Atenuação: Anunciar a substituição no início do evento com ênfase no motivo. Recuperação: Enviar carta formal da autoridade ausente aos formandos, reconhecendo a importância da solenidade.</t>
  </si>
  <si>
    <t>Emitir convites com QR code rastreável, limitando rigorosamente a emissão à capacidade. Implementar controle de acesso digital na entrada.</t>
  </si>
  <si>
    <t>Contagem de Acesso: Monitorar a contagem em tempo real do número de convidados que passaram pela catraca/QR code, comparando com a capacidade máxima.</t>
  </si>
  <si>
    <t>Limite Atingido: O sistema de controle de acesso atinge 95% da capacidade antes do horário de início da cerimônia.</t>
  </si>
  <si>
    <t>Atenuação: Designar segurança para interromper a entrada e comunicar o público com calma. Recuperação: Oferecer transmissão por streaming ao vivo para convidados barrados ou direcioná-los a uma sala de anexo.</t>
  </si>
  <si>
    <t>Exigir documento de identidade oficial com foto e implementar sistema de dupla checagem no ponto de retirada.</t>
  </si>
  <si>
    <t>Conformidade: Fazer auditoria por amostragem na entrega, verificando se 100% dos formandos apresentaram RG.</t>
  </si>
  <si>
    <t>Reclamação de Extravio: Um formando alega que seu diploma não foi encontrado ou que foi entregue a outra pessoa.</t>
  </si>
  <si>
    <t>Atenuação: Interromper imediatamente a fila de entrega para revisão do protocolo. Recuperação: Acionar o seguro contra extravio/roubo e iniciar o processo de reemissão com investigação interna.</t>
  </si>
  <si>
    <t>Criar um cadastro prévio de procurações com verificação de autenticidade. Exigir autenticação rigorosa de todas as identidades no local.</t>
  </si>
  <si>
    <t>Validação: Monitorar a porcentagem de procurações ou documentos rejeitados por suspeita de fraude na triagem inicial.</t>
  </si>
  <si>
    <t>Suspeita Confirmada: A equipe de segurança ou protocolo identifica documentação visivelmente falsa (procuração, identidade) no momento da entrega.</t>
  </si>
  <si>
    <t>Atenuação: Acionar a segurança interna para isolar o indivíduo suspeito e notificar imediatamente o setor jurídico. Recuperação: Documentar a tentativa de fraude para fins legais e revisar o protocolo de segurança.</t>
  </si>
  <si>
    <t>Checklist: O técnico de som/luz deve assinar um checklist de testes completo 30 minutos antes do início do evento.</t>
  </si>
  <si>
    <t>Falha Total: Interrupção do som, luz principal ou projeção por mais de 2 minutos durante a cerimônia.</t>
  </si>
  <si>
    <t>Atenuação: Acionar o plano B (microfone de mão de backup ou projetor reserva). Recuperação: Comunicar o público com calma e retomar a solenidade usando o equipamento reserva o mais rápido possível.</t>
  </si>
  <si>
    <t>Otimizar o protocolo de conferência de aptidão para reduzir a chance de erro de contagem. Criar uma lista de urgência (Formandos Aptos) 48h antes do evento.</t>
  </si>
  <si>
    <t>Confronto de Listas: Fazer uma conferência final na manhã do evento entre o número de aptos confirmados e o número de diplomas embalados.</t>
  </si>
  <si>
    <t>Divergência: A contagem final na manhã do evento revela diplomas faltantes para formandos aptos.</t>
  </si>
  <si>
    <t>Atenuação: Chamar apenas os formandos cujos diplomas estão presentes, comunicando os ausentes com extrema discrição. Recuperação: Iniciar imediatamente a impressão urgente dos diplomas faltantes e organizar uma entrega especial prioritária.</t>
  </si>
  <si>
    <t>Elaborar um Plano de Comunicação e Crise, incluindo mensagens (scripts) de resposta rápida e padronizadas para social media.</t>
  </si>
  <si>
    <t>Mídia Social: Monitorar menções à UFC e ao evento nas principais redes sociais e imprensa durante as 24h pós-evento.</t>
  </si>
  <si>
    <t>Viralização: Identificação de mais de 10 reclamações negativas similares ou uma matéria na imprensa com tom desfavorável.</t>
  </si>
  <si>
    <t>Atenuação: Responder de forma empática e transparente em até 2 horas nas redes sociais, canalizando a reclamação para um contato privado. Recuperação: Publicar uma nota oficial de esclarecimento e pedido de desculpas pela autoridade máxima, detalhando as ações corretivas.</t>
  </si>
  <si>
    <t>Realizar inspeção de segurança prévia no local (pisos, iluminação) e exigir a presença de uma equipe de primeiros socorros/bombeiros durante o evento.</t>
  </si>
  <si>
    <t>Checklist de Segurança: O responsável deve assinar um laudo de inspeção de segurança 24h antes do evento.</t>
  </si>
  <si>
    <t>Acidente Grave: Ocorrência de lesão que exige atendimento médico de urgência ou evacuação do local.</t>
  </si>
  <si>
    <t>Atenuação: Prestar o primeiro socorro imediatamente, isolar a área do acidente e garantir que o restante do evento possa prosseguir. Recuperação: Acionar o seguro de responsabilidade civil, preencher o relatório de ocorrência e acompanhar o estado de saúde da vítima.</t>
  </si>
  <si>
    <t>Incluir cláusulas contratuais rigorosas com o fornecedor que preveem multas por atraso. Agendar o espaço com uma folga de 4 horas antes do horário de montagem.</t>
  </si>
  <si>
    <t>Status da Entrega: O responsável pela montagem deve confirmar a liberação do espaço (com foto) no horário exato estipulado no contrato.</t>
  </si>
  <si>
    <t>Atraso na Liberação: O espaço não é liberado para a equipe de montagem 1 hora após o horário contratado.</t>
  </si>
  <si>
    <t>Atenuação: Utilizar o tempo de buffer para manter o cronograma. Recuperação: Acionar imediatamente as multas contratuais e mobilizar uma equipe extra de montagem para acelerar o processo e minimizar o atraso no início do evento.</t>
  </si>
  <si>
    <t>Ocorrências de Risco</t>
  </si>
  <si>
    <t>Data da Ocorrência</t>
  </si>
  <si>
    <r>
      <rPr>
        <rFont val="Arial"/>
        <b/>
        <color theme="1"/>
        <sz val="12.0"/>
      </rPr>
      <t xml:space="preserve">Descrição da Ocorrência
</t>
    </r>
    <r>
      <rPr>
        <rFont val="Arial"/>
        <i/>
        <color theme="1"/>
        <sz val="12.0"/>
      </rPr>
      <t>(descrever)</t>
    </r>
  </si>
  <si>
    <t>Responsável pela Solução</t>
  </si>
  <si>
    <r>
      <rPr>
        <rFont val="Arial"/>
        <b/>
        <color theme="1"/>
        <sz val="12.0"/>
      </rPr>
      <t>Solução</t>
    </r>
    <r>
      <rPr>
        <rFont val="Arial"/>
        <color theme="1"/>
        <sz val="12.0"/>
      </rPr>
      <t xml:space="preserve">
</t>
    </r>
    <r>
      <rPr>
        <rFont val="Arial"/>
        <i/>
        <color theme="1"/>
        <sz val="12.0"/>
      </rPr>
      <t>(descrever)</t>
    </r>
  </si>
  <si>
    <r>
      <rPr>
        <rFont val="Arial"/>
        <b/>
        <color theme="1"/>
        <sz val="12.0"/>
      </rPr>
      <t>Resultados</t>
    </r>
    <r>
      <rPr>
        <rFont val="Arial"/>
        <color theme="1"/>
        <sz val="12.0"/>
      </rPr>
      <t xml:space="preserve">
</t>
    </r>
    <r>
      <rPr>
        <rFont val="Arial"/>
        <i/>
        <color theme="1"/>
        <sz val="12.0"/>
      </rPr>
      <t>(descrever)</t>
    </r>
  </si>
  <si>
    <t>Formando recebe um diploma com erros de grafia, data ou curso, inutilizando o documento.</t>
  </si>
  <si>
    <t>Implementação de Protocolo de Validação Tripla (Sistema, Setores e Aceite Formal do Formando).</t>
  </si>
  <si>
    <t>Redução a zero do índice de diplomas reemitidos; Economia de custos de retrabalho; Aumento imediato da satisfação.</t>
  </si>
  <si>
    <t>O Reitor(a) ou Diretor(a) falta ao evento sem prévio aviso, forçando a substituição por uma autoridade de menor escalão.</t>
  </si>
  <si>
    <t>Definição e confirmação antecipada da Autoridade Substituta (Vice/Pró-Reitor) com inclusão no cerimonial de backup.</t>
  </si>
  <si>
    <t>Manutenção da solenidade e da hierarquia da cerimônia, minimizando o impacto no prestígio.</t>
  </si>
  <si>
    <t>Superlotação do local, excedendo a capacidade de segurança e conforto.</t>
  </si>
  <si>
    <t>O número de convidados excede a capacidade máxima do local, gerando desconforto, desorganização e risco de segurança.</t>
  </si>
  <si>
    <t>Implementação de Controle de Acesso Rígido (QR Code/Digital) que bloqueia a entrada ao atingir 100% da capacidade.</t>
  </si>
  <si>
    <t>Garantia da segurança física dos presentes; Evita multas e interrupções por excesso de público.</t>
  </si>
  <si>
    <t>Falha na identificação faz com que um formando retire o diploma de outro, causando extravio e necessidade de reemissão.</t>
  </si>
  <si>
    <t>Exigência de Documento de Identidade com Foto e uso de sistema de Dupla Checagem no ponto de entrega.</t>
  </si>
  <si>
    <t>Zero extravios de diplomas no evento; Proteção da integridade do documento.</t>
  </si>
  <si>
    <t>Uso de procuração ou documentos falsos por terceiros para retirada indevida de um diploma.</t>
  </si>
  <si>
    <t>Validação de Autenticidade prévia de procurações e autenticação rigorosa de todas as identidades no local.</t>
  </si>
  <si>
    <t>Proteção da validade jurídica do diploma; Prevenção de responsabilidade legal por entrega indevida.</t>
  </si>
  <si>
    <t>Falha técnica nos equipamentos de som ou projeção durante a solenidade.</t>
  </si>
  <si>
    <t>Som ou projeção param de funcionar durante a cerimônia, causando interrupção e confusão.</t>
  </si>
  <si>
    <t>Teste de Equipamentos (Walk-through) completo 2h antes e garantia de Microfones e Cabos de Backup disponíveis.</t>
  </si>
  <si>
    <t>Continuidade da solenidade (interrupção máxima de 2 minutos); Evita a percepção de amadorismo na organização.</t>
  </si>
  <si>
    <t>Erro de logística ou contagem faz com que formandos aptos fiquem sem o diploma no dia do evento.</t>
  </si>
  <si>
    <t>Conferência de Aptidão Otimizada e Confronto Final de Listas 48h antes do evento.</t>
  </si>
  <si>
    <t>Garantia de que todos os formandos aptos recebam o diploma no momento da solenidade; Evita frustração e custo extra de entregas posteriores.</t>
  </si>
  <si>
    <t>Divulgação de notícias negativas ou reclamações públicas sobre a má organização ou atrasos excessivos.</t>
  </si>
  <si>
    <t>Reclamações sobre atrasos ou má organização são amplificadas nas redes sociais ou mídia, gerando crise de imagem.</t>
  </si>
  <si>
    <t>Elaboração de Plano de Comunicação e Crise com mensagens padronizadas de resposta rápida.</t>
  </si>
  <si>
    <t>Redução do dano reputacional; Resposta rápida e profissional, demonstrando controle da situação.</t>
  </si>
  <si>
    <t>Acidentes (queda, mal súbito) com formandos ou convidados devido a falhas na infraestrutura ou falta de socorro.</t>
  </si>
  <si>
    <t>Inspeção de Segurança prévia do local e presença obrigatória de Equipe de Primeiros Socorros (Bombeiros/Técnicos).</t>
  </si>
  <si>
    <t>Preservação da integridade física dos participantes; Minimização da responsabilidade civil da instituição.</t>
  </si>
  <si>
    <t>Atraso na liberação ou entrega do espaço físico para a montagem no dia do evento.</t>
  </si>
  <si>
    <t>O local não é entregue no horário contratado, atrasando a montagem e, consequentemente, o início da cerimônia.</t>
  </si>
  <si>
    <t>Cláusulas Contratuais Rígidas com multas por atraso e agendamento com "Folga" (Buffer) de tempo de 4h.</t>
  </si>
  <si>
    <t>Manutenção do cronograma do evento; Maior poder de negociação e penalização em caso de falha do fornecedor.</t>
  </si>
  <si>
    <t>Sigla</t>
  </si>
  <si>
    <t>Significado da Sigla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</si>
</sst>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12">
    <font>
      <sz val="10.0"/>
      <color rgb="FF000000"/>
      <name val="Arial"/>
      <scheme val="minor"/>
    </font>
    <font>
      <b/>
      <sz val="14.0"/>
      <color rgb="FF000000"/>
      <name val="Arial"/>
    </font>
    <font/>
    <font>
      <sz val="10.0"/>
      <color rgb="FF000000"/>
      <name val="Arial"/>
    </font>
    <font>
      <b/>
      <sz val="11.0"/>
      <color theme="1"/>
      <name val="Arial"/>
    </font>
    <font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0.0"/>
      <color theme="1"/>
      <name val="Arial"/>
    </font>
    <font>
      <sz val="11.0"/>
      <color rgb="FF7E3794"/>
      <name val="Inconsolata"/>
    </font>
    <font>
      <sz val="11.0"/>
      <color rgb="FF000000"/>
      <name val="Inconsolata"/>
    </font>
  </fonts>
  <fills count="13">
    <fill>
      <patternFill patternType="none"/>
    </fill>
    <fill>
      <patternFill patternType="lightGray"/>
    </fill>
    <fill>
      <patternFill patternType="solid">
        <fgColor rgb="FFFEF1CC"/>
        <bgColor rgb="FFFEF1C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rgb="FF92D050"/>
      </patternFill>
    </fill>
    <fill>
      <patternFill patternType="solid">
        <fgColor rgb="FFCCCCCC"/>
        <bgColor rgb="FFCCCCCC"/>
      </patternFill>
    </fill>
    <fill>
      <patternFill patternType="solid">
        <fgColor theme="9"/>
        <bgColor theme="9"/>
      </patternFill>
    </fill>
    <fill>
      <patternFill patternType="solid">
        <fgColor rgb="FFD5A6BD"/>
        <bgColor rgb="FFD5A6BD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0" fillId="0" fontId="3" numFmtId="0" xfId="0" applyAlignment="1" applyFont="1">
      <alignment shrinkToFit="0" wrapText="1"/>
    </xf>
    <xf borderId="3" fillId="3" fontId="4" numFmtId="0" xfId="0" applyAlignment="1" applyBorder="1" applyFill="1" applyFont="1">
      <alignment horizontal="left" shrinkToFit="0" wrapText="1"/>
    </xf>
    <xf borderId="4" fillId="0" fontId="5" numFmtId="0" xfId="0" applyAlignment="1" applyBorder="1" applyFont="1">
      <alignment shrinkToFit="0" wrapText="1"/>
    </xf>
    <xf borderId="5" fillId="0" fontId="5" numFmtId="0" xfId="0" applyAlignment="1" applyBorder="1" applyFont="1">
      <alignment shrinkToFit="0" wrapText="1"/>
    </xf>
    <xf borderId="6" fillId="3" fontId="6" numFmtId="0" xfId="0" applyAlignment="1" applyBorder="1" applyFont="1">
      <alignment horizontal="center" shrinkToFit="0" wrapText="1"/>
    </xf>
    <xf borderId="7" fillId="0" fontId="2" numFmtId="0" xfId="0" applyBorder="1" applyFont="1"/>
    <xf borderId="0" fillId="0" fontId="7" numFmtId="0" xfId="0" applyAlignment="1" applyFont="1">
      <alignment shrinkToFit="0" wrapText="1"/>
    </xf>
    <xf borderId="4" fillId="3" fontId="8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8" fillId="0" fontId="5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shrinkToFit="0" wrapText="1"/>
    </xf>
    <xf borderId="4" fillId="0" fontId="9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4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readingOrder="0" shrinkToFit="0" wrapText="1"/>
    </xf>
    <xf borderId="1" fillId="4" fontId="6" numFmtId="0" xfId="0" applyAlignment="1" applyBorder="1" applyFill="1" applyFont="1">
      <alignment horizontal="center" readingOrder="0"/>
    </xf>
    <xf borderId="9" fillId="0" fontId="2" numFmtId="0" xfId="0" applyBorder="1" applyFont="1"/>
    <xf borderId="4" fillId="5" fontId="6" numFmtId="0" xfId="0" applyAlignment="1" applyBorder="1" applyFill="1" applyFont="1">
      <alignment horizontal="center" vertical="center"/>
    </xf>
    <xf borderId="4" fillId="4" fontId="6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0" fontId="9" numFmtId="0" xfId="0" applyBorder="1" applyFont="1"/>
    <xf borderId="4" fillId="0" fontId="9" numFmtId="0" xfId="0" applyAlignment="1" applyBorder="1" applyFont="1">
      <alignment readingOrder="0"/>
    </xf>
    <xf borderId="4" fillId="0" fontId="9" numFmtId="0" xfId="0" applyAlignment="1" applyBorder="1" applyFont="1">
      <alignment horizontal="center"/>
    </xf>
    <xf borderId="1" fillId="4" fontId="6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4" fillId="0" fontId="9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 shrinkToFit="0" wrapText="1"/>
    </xf>
    <xf borderId="0" fillId="0" fontId="3" numFmtId="0" xfId="0" applyFont="1"/>
    <xf borderId="1" fillId="6" fontId="6" numFmtId="0" xfId="0" applyAlignment="1" applyBorder="1" applyFill="1" applyFont="1">
      <alignment horizontal="center"/>
    </xf>
    <xf borderId="4" fillId="6" fontId="6" numFmtId="0" xfId="0" applyAlignment="1" applyBorder="1" applyFont="1">
      <alignment horizontal="center"/>
    </xf>
    <xf borderId="4" fillId="6" fontId="6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center" shrinkToFit="0" wrapText="1"/>
    </xf>
    <xf borderId="8" fillId="6" fontId="6" numFmtId="0" xfId="0" applyAlignment="1" applyBorder="1" applyFont="1">
      <alignment horizontal="center" shrinkToFit="0" wrapText="1"/>
    </xf>
    <xf borderId="4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left" vertical="center"/>
    </xf>
    <xf borderId="4" fillId="7" fontId="10" numFmtId="0" xfId="0" applyBorder="1" applyFill="1" applyFont="1"/>
    <xf borderId="4" fillId="7" fontId="11" numFmtId="0" xfId="0" applyBorder="1" applyFont="1"/>
    <xf borderId="8" fillId="0" fontId="5" numFmtId="164" xfId="0" applyAlignment="1" applyBorder="1" applyFont="1" applyNumberFormat="1">
      <alignment readingOrder="0"/>
    </xf>
    <xf borderId="4" fillId="0" fontId="9" numFmtId="0" xfId="0" applyAlignment="1" applyBorder="1" applyFont="1">
      <alignment horizontal="left" readingOrder="0" vertical="center"/>
    </xf>
    <xf borderId="8" fillId="0" fontId="5" numFmtId="164" xfId="0" applyBorder="1" applyFont="1" applyNumberFormat="1"/>
    <xf borderId="0" fillId="0" fontId="3" numFmtId="0" xfId="0" applyAlignment="1" applyFont="1">
      <alignment horizontal="center"/>
    </xf>
    <xf borderId="1" fillId="8" fontId="6" numFmtId="0" xfId="0" applyAlignment="1" applyBorder="1" applyFill="1" applyFont="1">
      <alignment horizontal="center"/>
    </xf>
    <xf borderId="4" fillId="9" fontId="6" numFmtId="0" xfId="0" applyAlignment="1" applyBorder="1" applyFill="1" applyFont="1">
      <alignment horizontal="center" vertical="center"/>
    </xf>
    <xf borderId="4" fillId="8" fontId="6" numFmtId="0" xfId="0" applyAlignment="1" applyBorder="1" applyFont="1">
      <alignment horizontal="center" vertical="center"/>
    </xf>
    <xf borderId="4" fillId="9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/>
    </xf>
    <xf borderId="1" fillId="10" fontId="6" numFmtId="0" xfId="0" applyAlignment="1" applyBorder="1" applyFill="1" applyFont="1">
      <alignment horizontal="center" vertical="center"/>
    </xf>
    <xf borderId="4" fillId="10" fontId="6" numFmtId="0" xfId="0" applyAlignment="1" applyBorder="1" applyFont="1">
      <alignment horizontal="center" shrinkToFit="0" vertical="center" wrapText="1"/>
    </xf>
    <xf borderId="4" fillId="10" fontId="6" numFmtId="0" xfId="0" applyAlignment="1" applyBorder="1" applyFont="1">
      <alignment horizontal="center" vertical="center"/>
    </xf>
    <xf borderId="4" fillId="0" fontId="9" numFmtId="14" xfId="0" applyAlignment="1" applyBorder="1" applyFont="1" applyNumberFormat="1">
      <alignment horizontal="center" vertical="center"/>
    </xf>
    <xf borderId="4" fillId="0" fontId="9" numFmtId="14" xfId="0" applyAlignment="1" applyBorder="1" applyFont="1" applyNumberFormat="1">
      <alignment horizontal="center" readingOrder="0" vertical="center"/>
    </xf>
    <xf borderId="1" fillId="11" fontId="6" numFmtId="0" xfId="0" applyAlignment="1" applyBorder="1" applyFill="1" applyFont="1">
      <alignment horizontal="center" vertical="center"/>
    </xf>
    <xf borderId="4" fillId="11" fontId="6" numFmtId="0" xfId="0" applyAlignment="1" applyBorder="1" applyFont="1">
      <alignment horizontal="center" vertical="center"/>
    </xf>
    <xf borderId="4" fillId="11" fontId="8" numFmtId="0" xfId="0" applyAlignment="1" applyBorder="1" applyFont="1">
      <alignment horizontal="center" shrinkToFit="0" vertical="center" wrapText="1"/>
    </xf>
    <xf borderId="4" fillId="11" fontId="6" numFmtId="0" xfId="0" applyAlignment="1" applyBorder="1" applyFont="1">
      <alignment horizontal="center" shrinkToFit="0" vertical="center" wrapText="1"/>
    </xf>
    <xf borderId="4" fillId="0" fontId="9" numFmtId="165" xfId="0" applyAlignment="1" applyBorder="1" applyFont="1" applyNumberFormat="1">
      <alignment readingOrder="0"/>
    </xf>
    <xf borderId="4" fillId="12" fontId="6" numFmtId="0" xfId="0" applyAlignment="1" applyBorder="1" applyFill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38100</xdr:rowOff>
    </xdr:from>
    <xdr:ext cx="971550" cy="400050"/>
    <xdr:pic>
      <xdr:nvPicPr>
        <xdr:cNvPr descr="UFC Logo – Universidade Federal do Ceará Logo - PNG e Vetor - Download de 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8.63"/>
    <col customWidth="1" min="2" max="2" width="78.38"/>
    <col customWidth="1" min="3" max="22" width="14.38"/>
  </cols>
  <sheetData>
    <row r="1" ht="42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</v>
      </c>
      <c r="B4" s="6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4</v>
      </c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5</v>
      </c>
      <c r="B6" s="10" t="s">
        <v>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1" t="s">
        <v>7</v>
      </c>
      <c r="B7" s="12" t="s">
        <v>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"/>
      <c r="B8" s="13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4"/>
      <c r="B9" s="15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4"/>
      <c r="B10" s="16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7"/>
      <c r="B11" s="1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7"/>
      <c r="B12" s="1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7"/>
      <c r="B13" s="1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7"/>
      <c r="B14" s="17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7"/>
      <c r="B15" s="17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7"/>
      <c r="B16" s="17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7"/>
      <c r="B17" s="17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7"/>
      <c r="B18" s="17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7"/>
      <c r="B19" s="17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7"/>
      <c r="B20" s="17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7"/>
      <c r="B21" s="17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7"/>
      <c r="B22" s="17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7"/>
      <c r="B23" s="17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7"/>
      <c r="B24" s="17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7"/>
      <c r="B25" s="17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7"/>
      <c r="B26" s="17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7"/>
      <c r="B27" s="17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7"/>
      <c r="B28" s="17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7"/>
      <c r="B29" s="17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7"/>
      <c r="B30" s="17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7"/>
      <c r="B31" s="17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7"/>
      <c r="B32" s="17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7"/>
      <c r="B33" s="17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7"/>
      <c r="B34" s="17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7"/>
      <c r="B35" s="17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A1:B1"/>
    <mergeCell ref="A5:B5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1.0"/>
    <col customWidth="1" min="3" max="3" width="18.5"/>
    <col customWidth="1" min="4" max="4" width="15.13"/>
    <col customWidth="1" min="5" max="5" width="15.25"/>
    <col customWidth="1" min="6" max="6" width="27.25"/>
    <col customWidth="1" min="7" max="7" width="25.0"/>
    <col customWidth="1" min="8" max="8" width="33.5"/>
    <col customWidth="1" min="9" max="9" width="14.38"/>
    <col customWidth="1" hidden="1" min="10" max="10" width="14.38"/>
  </cols>
  <sheetData>
    <row r="1">
      <c r="A1" s="19" t="s">
        <v>0</v>
      </c>
      <c r="B1" s="20"/>
      <c r="C1" s="20"/>
      <c r="D1" s="20"/>
      <c r="E1" s="20"/>
      <c r="F1" s="20"/>
      <c r="G1" s="20"/>
      <c r="H1" s="2"/>
    </row>
    <row r="2">
      <c r="A2" s="21" t="s">
        <v>9</v>
      </c>
      <c r="B2" s="22" t="s">
        <v>10</v>
      </c>
      <c r="C2" s="23" t="s">
        <v>11</v>
      </c>
      <c r="D2" s="22" t="s">
        <v>12</v>
      </c>
      <c r="E2" s="22" t="s">
        <v>13</v>
      </c>
      <c r="F2" s="24" t="s">
        <v>14</v>
      </c>
      <c r="G2" s="23" t="s">
        <v>15</v>
      </c>
      <c r="H2" s="23" t="s">
        <v>16</v>
      </c>
    </row>
    <row r="3">
      <c r="A3" s="25" t="str">
        <f>'ETAPA 1. DADOS DO PROCESSO'!A$7</f>
        <v>Evento de entrega de diplomas de conclusão de curso</v>
      </c>
      <c r="B3" s="26" t="s">
        <v>17</v>
      </c>
      <c r="C3" s="11" t="s">
        <v>18</v>
      </c>
      <c r="D3" s="27"/>
      <c r="E3" s="28"/>
      <c r="F3" s="20"/>
      <c r="G3" s="20"/>
      <c r="H3" s="20"/>
      <c r="I3" s="20"/>
      <c r="J3" s="20"/>
      <c r="K3" s="20"/>
      <c r="L3" s="2"/>
    </row>
    <row r="4">
      <c r="A4" s="25" t="str">
        <f>'ETAPA 1. DADOS DO PROCESSO'!A$7</f>
        <v>Evento de entrega de diplomas de conclusão de curso</v>
      </c>
      <c r="B4" s="26" t="s">
        <v>17</v>
      </c>
      <c r="C4" s="29" t="s">
        <v>19</v>
      </c>
      <c r="D4" s="30" t="s">
        <v>20</v>
      </c>
      <c r="E4" s="30" t="s">
        <v>21</v>
      </c>
      <c r="F4" s="26" t="s">
        <v>22</v>
      </c>
      <c r="G4" s="26" t="s">
        <v>23</v>
      </c>
      <c r="H4" s="26" t="s">
        <v>24</v>
      </c>
    </row>
    <row r="5">
      <c r="A5" s="25" t="str">
        <f>'ETAPA 1. DADOS DO PROCESSO'!A$7</f>
        <v>Evento de entrega de diplomas de conclusão de curso</v>
      </c>
      <c r="B5" s="25"/>
      <c r="C5" s="31" t="s">
        <v>25</v>
      </c>
      <c r="D5" s="30" t="s">
        <v>20</v>
      </c>
      <c r="E5" s="30" t="s">
        <v>26</v>
      </c>
      <c r="F5" s="26" t="s">
        <v>27</v>
      </c>
      <c r="G5" s="26" t="s">
        <v>28</v>
      </c>
      <c r="H5" s="26" t="s">
        <v>29</v>
      </c>
    </row>
    <row r="6">
      <c r="A6" s="25" t="str">
        <f>'ETAPA 1. DADOS DO PROCESSO'!A$7</f>
        <v>Evento de entrega de diplomas de conclusão de curso</v>
      </c>
      <c r="B6" s="25"/>
      <c r="C6" s="26" t="s">
        <v>30</v>
      </c>
      <c r="D6" s="30" t="s">
        <v>20</v>
      </c>
      <c r="E6" s="30" t="s">
        <v>31</v>
      </c>
      <c r="F6" s="26" t="s">
        <v>22</v>
      </c>
      <c r="G6" s="26" t="s">
        <v>32</v>
      </c>
      <c r="H6" s="26" t="s">
        <v>33</v>
      </c>
    </row>
    <row r="7">
      <c r="A7" s="25" t="str">
        <f>'ETAPA 1. DADOS DO PROCESSO'!A$7</f>
        <v>Evento de entrega de diplomas de conclusão de curso</v>
      </c>
      <c r="B7" s="25"/>
      <c r="C7" s="26" t="s">
        <v>34</v>
      </c>
      <c r="D7" s="30" t="s">
        <v>20</v>
      </c>
      <c r="E7" s="30" t="s">
        <v>21</v>
      </c>
      <c r="F7" s="26" t="s">
        <v>35</v>
      </c>
      <c r="G7" s="26" t="s">
        <v>36</v>
      </c>
      <c r="H7" s="26" t="s">
        <v>37</v>
      </c>
      <c r="J7" s="32" t="s">
        <v>38</v>
      </c>
    </row>
    <row r="8">
      <c r="A8" s="25" t="str">
        <f>'ETAPA 1. DADOS DO PROCESSO'!A$7</f>
        <v>Evento de entrega de diplomas de conclusão de curso</v>
      </c>
      <c r="B8" s="25"/>
      <c r="C8" s="26" t="s">
        <v>39</v>
      </c>
      <c r="D8" s="30" t="s">
        <v>20</v>
      </c>
      <c r="E8" s="30" t="s">
        <v>21</v>
      </c>
      <c r="F8" s="26" t="s">
        <v>22</v>
      </c>
      <c r="G8" s="26" t="s">
        <v>40</v>
      </c>
      <c r="H8" s="26" t="s">
        <v>41</v>
      </c>
      <c r="J8" s="32" t="s">
        <v>42</v>
      </c>
    </row>
    <row r="9">
      <c r="A9" s="25" t="str">
        <f>'ETAPA 1. DADOS DO PROCESSO'!A$7</f>
        <v>Evento de entrega de diplomas de conclusão de curso</v>
      </c>
      <c r="B9" s="25"/>
      <c r="C9" s="26" t="s">
        <v>43</v>
      </c>
      <c r="D9" s="30" t="s">
        <v>20</v>
      </c>
      <c r="E9" s="30" t="s">
        <v>31</v>
      </c>
      <c r="F9" s="26" t="s">
        <v>27</v>
      </c>
      <c r="G9" s="26" t="s">
        <v>44</v>
      </c>
      <c r="H9" s="26" t="s">
        <v>45</v>
      </c>
      <c r="J9" s="32" t="s">
        <v>46</v>
      </c>
    </row>
    <row r="10">
      <c r="A10" s="25" t="str">
        <f>'ETAPA 1. DADOS DO PROCESSO'!A$7</f>
        <v>Evento de entrega de diplomas de conclusão de curso</v>
      </c>
      <c r="B10" s="25"/>
      <c r="C10" s="26" t="s">
        <v>47</v>
      </c>
      <c r="D10" s="30" t="s">
        <v>20</v>
      </c>
      <c r="E10" s="30" t="s">
        <v>31</v>
      </c>
      <c r="F10" s="26" t="s">
        <v>27</v>
      </c>
      <c r="G10" s="29" t="s">
        <v>48</v>
      </c>
      <c r="H10" s="26" t="s">
        <v>49</v>
      </c>
      <c r="J10" s="32" t="s">
        <v>50</v>
      </c>
    </row>
    <row r="11">
      <c r="A11" s="25" t="str">
        <f>'ETAPA 1. DADOS DO PROCESSO'!A$7</f>
        <v>Evento de entrega de diplomas de conclusão de curso</v>
      </c>
      <c r="B11" s="25"/>
      <c r="C11" s="26" t="s">
        <v>51</v>
      </c>
      <c r="D11" s="30" t="s">
        <v>20</v>
      </c>
      <c r="E11" s="30" t="s">
        <v>26</v>
      </c>
      <c r="F11" s="26" t="s">
        <v>27</v>
      </c>
      <c r="G11" s="26" t="s">
        <v>52</v>
      </c>
      <c r="H11" s="26" t="s">
        <v>53</v>
      </c>
      <c r="J11" s="32" t="s">
        <v>54</v>
      </c>
    </row>
    <row r="12">
      <c r="A12" s="25" t="str">
        <f>'ETAPA 1. DADOS DO PROCESSO'!A$7</f>
        <v>Evento de entrega de diplomas de conclusão de curso</v>
      </c>
      <c r="B12" s="25"/>
      <c r="C12" s="26" t="s">
        <v>55</v>
      </c>
      <c r="D12" s="30" t="s">
        <v>20</v>
      </c>
      <c r="E12" s="30" t="s">
        <v>26</v>
      </c>
      <c r="F12" s="26" t="s">
        <v>27</v>
      </c>
      <c r="G12" s="26" t="s">
        <v>56</v>
      </c>
      <c r="H12" s="26" t="s">
        <v>57</v>
      </c>
      <c r="J12" s="32" t="s">
        <v>58</v>
      </c>
    </row>
    <row r="13">
      <c r="A13" s="25" t="str">
        <f>'ETAPA 1. DADOS DO PROCESSO'!A$7</f>
        <v>Evento de entrega de diplomas de conclusão de curso</v>
      </c>
      <c r="B13" s="25"/>
      <c r="C13" s="26" t="s">
        <v>59</v>
      </c>
      <c r="D13" s="30" t="s">
        <v>20</v>
      </c>
      <c r="E13" s="30" t="s">
        <v>31</v>
      </c>
      <c r="F13" s="26" t="s">
        <v>22</v>
      </c>
      <c r="G13" s="29" t="s">
        <v>60</v>
      </c>
      <c r="H13" s="26" t="s">
        <v>61</v>
      </c>
    </row>
    <row r="14">
      <c r="A14" s="25" t="str">
        <f>'ETAPA 1. DADOS DO PROCESSO'!A$7</f>
        <v>Evento de entrega de diplomas de conclusão de curso</v>
      </c>
      <c r="B14" s="25"/>
      <c r="C14" s="25"/>
      <c r="D14" s="27"/>
      <c r="E14" s="27"/>
      <c r="F14" s="25"/>
      <c r="G14" s="25"/>
      <c r="H14" s="25"/>
    </row>
    <row r="15">
      <c r="A15" s="25" t="str">
        <f>'ETAPA 1. DADOS DO PROCESSO'!A$7</f>
        <v>Evento de entrega de diplomas de conclusão de curso</v>
      </c>
      <c r="B15" s="25"/>
      <c r="C15" s="25"/>
      <c r="D15" s="27"/>
      <c r="E15" s="27"/>
      <c r="F15" s="25"/>
      <c r="G15" s="25"/>
      <c r="H15" s="25"/>
    </row>
    <row r="16">
      <c r="A16" s="25" t="str">
        <f>'ETAPA 1. DADOS DO PROCESSO'!A$7</f>
        <v>Evento de entrega de diplomas de conclusão de curso</v>
      </c>
      <c r="B16" s="25"/>
      <c r="C16" s="25"/>
      <c r="D16" s="27"/>
      <c r="E16" s="27"/>
      <c r="F16" s="25"/>
      <c r="G16" s="25"/>
      <c r="H16" s="25"/>
    </row>
    <row r="17">
      <c r="A17" s="25" t="str">
        <f>'ETAPA 1. DADOS DO PROCESSO'!A$7</f>
        <v>Evento de entrega de diplomas de conclusão de curso</v>
      </c>
      <c r="B17" s="25"/>
      <c r="C17" s="25"/>
      <c r="D17" s="27"/>
      <c r="E17" s="27"/>
      <c r="F17" s="25"/>
      <c r="G17" s="25"/>
      <c r="H17" s="25"/>
    </row>
    <row r="18">
      <c r="A18" s="25" t="str">
        <f>'ETAPA 1. DADOS DO PROCESSO'!A$7</f>
        <v>Evento de entrega de diplomas de conclusão de curso</v>
      </c>
      <c r="B18" s="25"/>
      <c r="C18" s="25"/>
      <c r="D18" s="27"/>
      <c r="E18" s="27"/>
      <c r="F18" s="25"/>
      <c r="G18" s="25"/>
      <c r="H18" s="25"/>
    </row>
    <row r="19">
      <c r="A19" s="25" t="str">
        <f>'ETAPA 1. DADOS DO PROCESSO'!A$7</f>
        <v>Evento de entrega de diplomas de conclusão de curso</v>
      </c>
      <c r="B19" s="25"/>
      <c r="C19" s="25"/>
      <c r="D19" s="27"/>
      <c r="E19" s="27"/>
      <c r="F19" s="25"/>
      <c r="G19" s="25"/>
      <c r="H19" s="25"/>
    </row>
    <row r="20">
      <c r="A20" s="25" t="str">
        <f>'ETAPA 1. DADOS DO PROCESSO'!A$7</f>
        <v>Evento de entrega de diplomas de conclusão de curso</v>
      </c>
      <c r="B20" s="25"/>
      <c r="C20" s="25"/>
      <c r="D20" s="27"/>
      <c r="E20" s="27"/>
      <c r="F20" s="25"/>
      <c r="G20" s="25"/>
      <c r="H20" s="25"/>
    </row>
    <row r="21" ht="15.75" customHeight="1">
      <c r="A21" s="25" t="str">
        <f>'ETAPA 1. DADOS DO PROCESSO'!A$7</f>
        <v>Evento de entrega de diplomas de conclusão de curso</v>
      </c>
      <c r="B21" s="25"/>
      <c r="C21" s="25"/>
      <c r="D21" s="27"/>
      <c r="E21" s="27"/>
      <c r="F21" s="25"/>
      <c r="G21" s="25"/>
      <c r="H21" s="25"/>
    </row>
    <row r="22" ht="15.75" customHeight="1">
      <c r="A22" s="25" t="str">
        <f>'ETAPA 1. DADOS DO PROCESSO'!A$7</f>
        <v>Evento de entrega de diplomas de conclusão de curso</v>
      </c>
      <c r="B22" s="25"/>
      <c r="C22" s="25"/>
      <c r="D22" s="27"/>
      <c r="E22" s="27"/>
      <c r="F22" s="25"/>
      <c r="G22" s="25"/>
      <c r="H22" s="25"/>
    </row>
    <row r="23" ht="15.75" customHeight="1">
      <c r="A23" s="25" t="str">
        <f>'ETAPA 1. DADOS DO PROCESSO'!A$7</f>
        <v>Evento de entrega de diplomas de conclusão de curso</v>
      </c>
      <c r="B23" s="25"/>
      <c r="C23" s="25"/>
      <c r="D23" s="27"/>
      <c r="E23" s="27"/>
      <c r="F23" s="25"/>
      <c r="G23" s="25"/>
      <c r="H23" s="25"/>
    </row>
    <row r="24" ht="15.75" customHeight="1">
      <c r="A24" s="25" t="str">
        <f>'ETAPA 1. DADOS DO PROCESSO'!A$7</f>
        <v>Evento de entrega de diplomas de conclusão de curso</v>
      </c>
      <c r="B24" s="25"/>
      <c r="C24" s="25"/>
      <c r="D24" s="27"/>
      <c r="E24" s="27"/>
      <c r="F24" s="25"/>
      <c r="G24" s="25"/>
      <c r="H24" s="25"/>
    </row>
    <row r="25" ht="15.75" customHeight="1">
      <c r="A25" s="25" t="str">
        <f>'ETAPA 1. DADOS DO PROCESSO'!A$7</f>
        <v>Evento de entrega de diplomas de conclusão de curso</v>
      </c>
      <c r="B25" s="25"/>
      <c r="C25" s="25"/>
      <c r="D25" s="27"/>
      <c r="E25" s="27"/>
      <c r="F25" s="25"/>
      <c r="G25" s="25"/>
      <c r="H25" s="25"/>
    </row>
    <row r="26" ht="15.75" customHeight="1">
      <c r="A26" s="25" t="str">
        <f>'ETAPA 1. DADOS DO PROCESSO'!A$7</f>
        <v>Evento de entrega de diplomas de conclusão de curso</v>
      </c>
      <c r="B26" s="25"/>
      <c r="C26" s="25"/>
      <c r="D26" s="27"/>
      <c r="E26" s="27"/>
      <c r="F26" s="25"/>
      <c r="G26" s="25"/>
      <c r="H26" s="25"/>
    </row>
    <row r="27" ht="15.75" customHeight="1">
      <c r="A27" s="25" t="str">
        <f>'ETAPA 1. DADOS DO PROCESSO'!A$7</f>
        <v>Evento de entrega de diplomas de conclusão de curso</v>
      </c>
      <c r="B27" s="25"/>
      <c r="C27" s="25"/>
      <c r="D27" s="27"/>
      <c r="E27" s="27"/>
      <c r="F27" s="25"/>
      <c r="G27" s="25"/>
      <c r="H27" s="25"/>
    </row>
    <row r="28" ht="15.75" customHeight="1">
      <c r="A28" s="25" t="str">
        <f>'ETAPA 1. DADOS DO PROCESSO'!A$7</f>
        <v>Evento de entrega de diplomas de conclusão de curso</v>
      </c>
      <c r="B28" s="25"/>
      <c r="C28" s="25"/>
      <c r="D28" s="27"/>
      <c r="E28" s="27"/>
      <c r="F28" s="25"/>
      <c r="G28" s="25"/>
      <c r="H28" s="25"/>
    </row>
    <row r="29" ht="15.75" customHeight="1">
      <c r="A29" s="25" t="str">
        <f>'ETAPA 1. DADOS DO PROCESSO'!A$7</f>
        <v>Evento de entrega de diplomas de conclusão de curso</v>
      </c>
      <c r="B29" s="25"/>
      <c r="C29" s="25"/>
      <c r="D29" s="27"/>
      <c r="E29" s="27"/>
      <c r="F29" s="25"/>
      <c r="G29" s="25"/>
      <c r="H29" s="25"/>
    </row>
    <row r="30" ht="15.75" customHeight="1">
      <c r="A30" s="25" t="str">
        <f>'ETAPA 1. DADOS DO PROCESSO'!A$7</f>
        <v>Evento de entrega de diplomas de conclusão de curso</v>
      </c>
      <c r="B30" s="25"/>
      <c r="C30" s="25"/>
      <c r="D30" s="27"/>
      <c r="E30" s="27"/>
      <c r="F30" s="25"/>
      <c r="G30" s="25"/>
      <c r="H30" s="25"/>
    </row>
    <row r="31" ht="15.75" customHeight="1">
      <c r="A31" s="25" t="str">
        <f>'ETAPA 1. DADOS DO PROCESSO'!A$7</f>
        <v>Evento de entrega de diplomas de conclusão de curso</v>
      </c>
      <c r="B31" s="25"/>
      <c r="C31" s="25"/>
      <c r="D31" s="27"/>
      <c r="E31" s="27"/>
      <c r="F31" s="25"/>
      <c r="G31" s="25"/>
      <c r="H31" s="25"/>
    </row>
    <row r="32" ht="15.75" customHeight="1">
      <c r="A32" s="25" t="str">
        <f>'ETAPA 1. DADOS DO PROCESSO'!A$7</f>
        <v>Evento de entrega de diplomas de conclusão de curso</v>
      </c>
      <c r="B32" s="25"/>
      <c r="C32" s="25"/>
      <c r="D32" s="27"/>
      <c r="E32" s="27"/>
      <c r="F32" s="25"/>
      <c r="G32" s="25"/>
      <c r="H32" s="25"/>
    </row>
    <row r="33" ht="15.75" customHeight="1">
      <c r="A33" s="25" t="str">
        <f>'ETAPA 1. DADOS DO PROCESSO'!A$7</f>
        <v>Evento de entrega de diplomas de conclusão de curso</v>
      </c>
      <c r="B33" s="25"/>
      <c r="C33" s="25"/>
      <c r="D33" s="27"/>
      <c r="E33" s="27"/>
      <c r="F33" s="25"/>
      <c r="G33" s="25"/>
      <c r="H33" s="25"/>
    </row>
    <row r="34" ht="15.75" customHeight="1">
      <c r="A34" s="25" t="str">
        <f>'ETAPA 1. DADOS DO PROCESSO'!A$7</f>
        <v>Evento de entrega de diplomas de conclusão de curso</v>
      </c>
      <c r="B34" s="25"/>
      <c r="C34" s="25"/>
      <c r="D34" s="27"/>
      <c r="E34" s="27"/>
      <c r="F34" s="25"/>
      <c r="G34" s="25"/>
      <c r="H34" s="25"/>
    </row>
    <row r="35" ht="15.75" customHeight="1">
      <c r="A35" s="25" t="str">
        <f>'ETAPA 1. DADOS DO PROCESSO'!A$7</f>
        <v>Evento de entrega de diplomas de conclusão de curso</v>
      </c>
      <c r="B35" s="25"/>
      <c r="C35" s="25"/>
      <c r="D35" s="27"/>
      <c r="E35" s="27"/>
      <c r="F35" s="25"/>
      <c r="G35" s="25"/>
      <c r="H35" s="25"/>
    </row>
    <row r="36" ht="15.75" customHeight="1">
      <c r="A36" s="25" t="str">
        <f>'ETAPA 1. DADOS DO PROCESSO'!A$7</f>
        <v>Evento de entrega de diplomas de conclusão de curso</v>
      </c>
      <c r="B36" s="25"/>
      <c r="C36" s="25"/>
      <c r="D36" s="27"/>
      <c r="E36" s="27"/>
      <c r="F36" s="25"/>
      <c r="G36" s="25"/>
      <c r="H36" s="25"/>
    </row>
    <row r="37" ht="15.75" customHeight="1">
      <c r="A37" s="25" t="str">
        <f>'ETAPA 1. DADOS DO PROCESSO'!A$7</f>
        <v>Evento de entrega de diplomas de conclusão de curso</v>
      </c>
      <c r="B37" s="25"/>
      <c r="C37" s="25"/>
      <c r="D37" s="27"/>
      <c r="E37" s="27"/>
      <c r="F37" s="25"/>
      <c r="G37" s="25"/>
      <c r="H37" s="25"/>
    </row>
    <row r="38" ht="15.75" customHeight="1">
      <c r="A38" s="25" t="str">
        <f>'ETAPA 1. DADOS DO PROCESSO'!A$7</f>
        <v>Evento de entrega de diplomas de conclusão de curso</v>
      </c>
      <c r="B38" s="25"/>
      <c r="C38" s="25"/>
      <c r="D38" s="27"/>
      <c r="E38" s="27"/>
      <c r="F38" s="25"/>
      <c r="G38" s="25"/>
      <c r="H38" s="25"/>
    </row>
    <row r="39" ht="15.75" customHeight="1">
      <c r="A39" s="25" t="str">
        <f>'ETAPA 1. DADOS DO PROCESSO'!A$7</f>
        <v>Evento de entrega de diplomas de conclusão de curso</v>
      </c>
      <c r="B39" s="25"/>
      <c r="C39" s="25"/>
      <c r="D39" s="27"/>
      <c r="E39" s="27"/>
      <c r="F39" s="25"/>
      <c r="G39" s="25"/>
      <c r="H39" s="25"/>
    </row>
    <row r="40" ht="15.75" customHeight="1">
      <c r="A40" s="25" t="str">
        <f>'ETAPA 1. DADOS DO PROCESSO'!A$7</f>
        <v>Evento de entrega de diplomas de conclusão de curso</v>
      </c>
      <c r="B40" s="25"/>
      <c r="C40" s="25"/>
      <c r="D40" s="27"/>
      <c r="E40" s="27"/>
      <c r="F40" s="25"/>
      <c r="G40" s="25"/>
      <c r="H40" s="25"/>
    </row>
    <row r="41" ht="15.75" customHeight="1">
      <c r="A41" s="25" t="str">
        <f>'ETAPA 1. DADOS DO PROCESSO'!A$7</f>
        <v>Evento de entrega de diplomas de conclusão de curso</v>
      </c>
      <c r="B41" s="25"/>
      <c r="C41" s="25"/>
      <c r="D41" s="27"/>
      <c r="E41" s="27"/>
      <c r="F41" s="25"/>
      <c r="G41" s="25"/>
      <c r="H41" s="25"/>
    </row>
    <row r="42" ht="15.75" customHeight="1">
      <c r="A42" s="25" t="str">
        <f>'ETAPA 1. DADOS DO PROCESSO'!A$7</f>
        <v>Evento de entrega de diplomas de conclusão de curso</v>
      </c>
      <c r="B42" s="25"/>
      <c r="C42" s="25"/>
      <c r="D42" s="27"/>
      <c r="E42" s="27"/>
      <c r="F42" s="25"/>
      <c r="G42" s="25"/>
      <c r="H42" s="25"/>
    </row>
    <row r="43" ht="15.75" customHeight="1">
      <c r="F43" s="32"/>
    </row>
    <row r="44" ht="15.75" customHeight="1">
      <c r="F44" s="32"/>
    </row>
    <row r="45" ht="15.75" customHeight="1">
      <c r="F45" s="32"/>
    </row>
    <row r="46" ht="15.75" customHeight="1">
      <c r="F46" s="32"/>
    </row>
    <row r="47" ht="15.75" customHeight="1">
      <c r="F47" s="32"/>
    </row>
    <row r="48" ht="15.75" customHeight="1">
      <c r="F48" s="32"/>
    </row>
    <row r="49" ht="15.75" customHeight="1">
      <c r="F49" s="32"/>
    </row>
    <row r="50" ht="15.75" customHeight="1">
      <c r="F50" s="32"/>
    </row>
    <row r="51" ht="15.75" customHeight="1">
      <c r="F51" s="32"/>
    </row>
    <row r="52" ht="15.75" customHeight="1">
      <c r="F52" s="32"/>
    </row>
    <row r="53" ht="15.75" customHeight="1">
      <c r="F53" s="32"/>
    </row>
    <row r="54" ht="15.75" customHeight="1">
      <c r="F54" s="32"/>
    </row>
    <row r="55" ht="15.75" customHeight="1">
      <c r="F55" s="32"/>
    </row>
    <row r="56" ht="15.75" customHeight="1">
      <c r="F56" s="32"/>
    </row>
    <row r="57" ht="15.75" customHeight="1">
      <c r="F57" s="32"/>
    </row>
    <row r="58" ht="15.75" customHeight="1">
      <c r="F58" s="32"/>
    </row>
    <row r="59" ht="15.75" customHeight="1">
      <c r="F59" s="32"/>
    </row>
    <row r="60" ht="15.75" customHeight="1">
      <c r="F60" s="32"/>
    </row>
    <row r="61" ht="15.75" customHeight="1">
      <c r="F61" s="32"/>
    </row>
    <row r="62" ht="15.75" customHeight="1">
      <c r="F62" s="32"/>
    </row>
    <row r="63" ht="15.75" customHeight="1">
      <c r="F63" s="32"/>
    </row>
    <row r="64" ht="15.75" customHeight="1">
      <c r="F64" s="32"/>
    </row>
    <row r="65" ht="15.75" customHeight="1">
      <c r="F65" s="32"/>
    </row>
    <row r="66" ht="15.75" customHeight="1">
      <c r="F66" s="32"/>
    </row>
    <row r="67" ht="15.75" customHeight="1">
      <c r="F67" s="32"/>
    </row>
    <row r="68" ht="15.75" customHeight="1">
      <c r="F68" s="32"/>
    </row>
    <row r="69" ht="15.75" customHeight="1">
      <c r="F69" s="32"/>
    </row>
    <row r="70" ht="15.75" customHeight="1">
      <c r="F70" s="32"/>
    </row>
    <row r="71" ht="15.75" customHeight="1">
      <c r="F71" s="32"/>
    </row>
    <row r="72" ht="15.75" customHeight="1">
      <c r="F72" s="32"/>
    </row>
    <row r="73" ht="15.75" customHeight="1">
      <c r="F73" s="32"/>
    </row>
    <row r="74" ht="15.75" customHeight="1">
      <c r="F74" s="32"/>
    </row>
    <row r="75" ht="15.75" customHeight="1">
      <c r="F75" s="32"/>
    </row>
    <row r="76" ht="15.75" customHeight="1">
      <c r="F76" s="32"/>
    </row>
    <row r="77" ht="15.75" customHeight="1">
      <c r="F77" s="32"/>
    </row>
    <row r="78" ht="15.75" customHeight="1">
      <c r="F78" s="32"/>
    </row>
    <row r="79" ht="15.75" customHeight="1">
      <c r="F79" s="32"/>
    </row>
    <row r="80" ht="15.75" customHeight="1">
      <c r="F80" s="32"/>
    </row>
    <row r="81" ht="15.75" customHeight="1">
      <c r="F81" s="32"/>
    </row>
    <row r="82" ht="15.75" customHeight="1">
      <c r="F82" s="32"/>
    </row>
    <row r="83" ht="15.75" customHeight="1">
      <c r="F83" s="32"/>
    </row>
    <row r="84" ht="15.75" customHeight="1">
      <c r="F84" s="32"/>
    </row>
    <row r="85" ht="15.75" customHeight="1">
      <c r="F85" s="32"/>
    </row>
    <row r="86" ht="15.75" customHeight="1">
      <c r="F86" s="32"/>
    </row>
    <row r="87" ht="15.75" customHeight="1">
      <c r="F87" s="32"/>
    </row>
    <row r="88" ht="15.75" customHeight="1">
      <c r="F88" s="32"/>
    </row>
    <row r="89" ht="15.75" customHeight="1">
      <c r="F89" s="32"/>
    </row>
    <row r="90" ht="15.75" customHeight="1">
      <c r="F90" s="32"/>
    </row>
    <row r="91" ht="15.75" customHeight="1">
      <c r="F91" s="32"/>
    </row>
    <row r="92" ht="15.75" customHeight="1">
      <c r="F92" s="32"/>
    </row>
    <row r="93" ht="15.75" customHeight="1">
      <c r="F93" s="32"/>
    </row>
    <row r="94" ht="15.75" customHeight="1">
      <c r="F94" s="32"/>
    </row>
    <row r="95" ht="15.75" customHeight="1">
      <c r="F95" s="32"/>
    </row>
    <row r="96" ht="15.75" customHeight="1">
      <c r="F96" s="32"/>
    </row>
    <row r="97" ht="15.75" customHeight="1">
      <c r="F97" s="32"/>
    </row>
    <row r="98" ht="15.75" customHeight="1">
      <c r="F98" s="32"/>
    </row>
    <row r="99" ht="15.75" customHeight="1">
      <c r="F99" s="32"/>
    </row>
    <row r="100" ht="15.75" customHeight="1">
      <c r="F100" s="32"/>
    </row>
    <row r="101" ht="15.75" customHeight="1">
      <c r="F101" s="32"/>
    </row>
    <row r="102" ht="15.75" customHeight="1">
      <c r="F102" s="32"/>
    </row>
    <row r="103" ht="15.75" customHeight="1">
      <c r="F103" s="32"/>
    </row>
    <row r="104" ht="15.75" customHeight="1">
      <c r="F104" s="32"/>
    </row>
    <row r="105" ht="15.75" customHeight="1">
      <c r="F105" s="32"/>
    </row>
    <row r="106" ht="15.75" customHeight="1">
      <c r="F106" s="32"/>
    </row>
    <row r="107" ht="15.75" customHeight="1">
      <c r="F107" s="32"/>
    </row>
    <row r="108" ht="15.75" customHeight="1">
      <c r="F108" s="32"/>
    </row>
    <row r="109" ht="15.75" customHeight="1">
      <c r="F109" s="32"/>
    </row>
    <row r="110" ht="15.75" customHeight="1">
      <c r="F110" s="32"/>
    </row>
    <row r="111" ht="15.75" customHeight="1">
      <c r="F111" s="32"/>
    </row>
    <row r="112" ht="15.75" customHeight="1">
      <c r="F112" s="32"/>
    </row>
    <row r="113" ht="15.75" customHeight="1">
      <c r="F113" s="32"/>
    </row>
    <row r="114" ht="15.75" customHeight="1">
      <c r="F114" s="32"/>
    </row>
    <row r="115" ht="15.75" customHeight="1">
      <c r="F115" s="32"/>
    </row>
    <row r="116" ht="15.75" customHeight="1">
      <c r="F116" s="32"/>
    </row>
    <row r="117" ht="15.75" customHeight="1">
      <c r="F117" s="32"/>
    </row>
    <row r="118" ht="15.75" customHeight="1">
      <c r="F118" s="32"/>
    </row>
    <row r="119" ht="15.75" customHeight="1">
      <c r="F119" s="32"/>
    </row>
    <row r="120" ht="15.75" customHeight="1">
      <c r="F120" s="32"/>
    </row>
    <row r="121" ht="15.75" customHeight="1">
      <c r="F121" s="32"/>
    </row>
    <row r="122" ht="15.75" customHeight="1">
      <c r="F122" s="32"/>
    </row>
    <row r="123" ht="15.75" customHeight="1">
      <c r="F123" s="32"/>
    </row>
    <row r="124" ht="15.75" customHeight="1">
      <c r="F124" s="32"/>
    </row>
    <row r="125" ht="15.75" customHeight="1">
      <c r="F125" s="32"/>
    </row>
    <row r="126" ht="15.75" customHeight="1">
      <c r="F126" s="32"/>
    </row>
    <row r="127" ht="15.75" customHeight="1">
      <c r="F127" s="32"/>
    </row>
    <row r="128" ht="15.75" customHeight="1">
      <c r="F128" s="32"/>
    </row>
    <row r="129" ht="15.75" customHeight="1">
      <c r="F129" s="32"/>
    </row>
    <row r="130" ht="15.75" customHeight="1">
      <c r="F130" s="32"/>
    </row>
    <row r="131" ht="15.75" customHeight="1">
      <c r="F131" s="32"/>
    </row>
    <row r="132" ht="15.75" customHeight="1">
      <c r="F132" s="32"/>
    </row>
    <row r="133" ht="15.75" customHeight="1">
      <c r="F133" s="32"/>
    </row>
    <row r="134" ht="15.75" customHeight="1">
      <c r="F134" s="32"/>
    </row>
    <row r="135" ht="15.75" customHeight="1">
      <c r="F135" s="32"/>
    </row>
    <row r="136" ht="15.75" customHeight="1">
      <c r="F136" s="32"/>
    </row>
    <row r="137" ht="15.75" customHeight="1">
      <c r="F137" s="32"/>
    </row>
    <row r="138" ht="15.75" customHeight="1">
      <c r="F138" s="32"/>
    </row>
    <row r="139" ht="15.75" customHeight="1">
      <c r="F139" s="32"/>
    </row>
    <row r="140" ht="15.75" customHeight="1">
      <c r="F140" s="32"/>
    </row>
    <row r="141" ht="15.75" customHeight="1">
      <c r="F141" s="32"/>
    </row>
    <row r="142" ht="15.75" customHeight="1">
      <c r="F142" s="32"/>
    </row>
    <row r="143" ht="15.75" customHeight="1">
      <c r="F143" s="32"/>
    </row>
    <row r="144" ht="15.75" customHeight="1">
      <c r="F144" s="32"/>
    </row>
    <row r="145" ht="15.75" customHeight="1">
      <c r="F145" s="32"/>
    </row>
    <row r="146" ht="15.75" customHeight="1">
      <c r="F146" s="32"/>
    </row>
    <row r="147" ht="15.75" customHeight="1">
      <c r="F147" s="32"/>
    </row>
    <row r="148" ht="15.75" customHeight="1">
      <c r="F148" s="32"/>
    </row>
    <row r="149" ht="15.75" customHeight="1">
      <c r="F149" s="32"/>
    </row>
    <row r="150" ht="15.75" customHeight="1">
      <c r="F150" s="32"/>
    </row>
    <row r="151" ht="15.75" customHeight="1">
      <c r="F151" s="32"/>
    </row>
    <row r="152" ht="15.75" customHeight="1">
      <c r="F152" s="32"/>
    </row>
    <row r="153" ht="15.75" customHeight="1">
      <c r="F153" s="32"/>
    </row>
    <row r="154" ht="15.75" customHeight="1">
      <c r="F154" s="32"/>
    </row>
    <row r="155" ht="15.75" customHeight="1">
      <c r="F155" s="32"/>
    </row>
    <row r="156" ht="15.75" customHeight="1">
      <c r="F156" s="32"/>
    </row>
    <row r="157" ht="15.75" customHeight="1">
      <c r="F157" s="32"/>
    </row>
    <row r="158" ht="15.75" customHeight="1">
      <c r="F158" s="32"/>
    </row>
    <row r="159" ht="15.75" customHeight="1">
      <c r="F159" s="32"/>
    </row>
    <row r="160" ht="15.75" customHeight="1">
      <c r="F160" s="32"/>
    </row>
    <row r="161" ht="15.75" customHeight="1">
      <c r="F161" s="32"/>
    </row>
    <row r="162" ht="15.75" customHeight="1">
      <c r="F162" s="32"/>
    </row>
    <row r="163" ht="15.75" customHeight="1">
      <c r="F163" s="32"/>
    </row>
    <row r="164" ht="15.75" customHeight="1">
      <c r="F164" s="32"/>
    </row>
    <row r="165" ht="15.75" customHeight="1">
      <c r="F165" s="32"/>
    </row>
    <row r="166" ht="15.75" customHeight="1">
      <c r="F166" s="32"/>
    </row>
    <row r="167" ht="15.75" customHeight="1">
      <c r="F167" s="32"/>
    </row>
    <row r="168" ht="15.75" customHeight="1">
      <c r="F168" s="32"/>
    </row>
    <row r="169" ht="15.75" customHeight="1">
      <c r="F169" s="32"/>
    </row>
    <row r="170" ht="15.75" customHeight="1">
      <c r="F170" s="32"/>
    </row>
    <row r="171" ht="15.75" customHeight="1">
      <c r="F171" s="32"/>
    </row>
    <row r="172" ht="15.75" customHeight="1">
      <c r="F172" s="32"/>
    </row>
    <row r="173" ht="15.75" customHeight="1">
      <c r="F173" s="32"/>
    </row>
    <row r="174" ht="15.75" customHeight="1">
      <c r="F174" s="32"/>
    </row>
    <row r="175" ht="15.75" customHeight="1">
      <c r="F175" s="32"/>
    </row>
    <row r="176" ht="15.75" customHeight="1">
      <c r="F176" s="32"/>
    </row>
    <row r="177" ht="15.75" customHeight="1">
      <c r="F177" s="32"/>
    </row>
    <row r="178" ht="15.75" customHeight="1">
      <c r="F178" s="32"/>
    </row>
    <row r="179" ht="15.75" customHeight="1">
      <c r="F179" s="32"/>
    </row>
    <row r="180" ht="15.75" customHeight="1">
      <c r="F180" s="32"/>
    </row>
    <row r="181" ht="15.75" customHeight="1">
      <c r="F181" s="32"/>
    </row>
    <row r="182" ht="15.75" customHeight="1">
      <c r="F182" s="32"/>
    </row>
    <row r="183" ht="15.75" customHeight="1">
      <c r="F183" s="32"/>
    </row>
    <row r="184" ht="15.75" customHeight="1">
      <c r="F184" s="32"/>
    </row>
    <row r="185" ht="15.75" customHeight="1">
      <c r="F185" s="32"/>
    </row>
    <row r="186" ht="15.75" customHeight="1">
      <c r="F186" s="32"/>
    </row>
    <row r="187" ht="15.75" customHeight="1">
      <c r="F187" s="32"/>
    </row>
    <row r="188" ht="15.75" customHeight="1">
      <c r="F188" s="32"/>
    </row>
    <row r="189" ht="15.75" customHeight="1">
      <c r="F189" s="32"/>
    </row>
    <row r="190" ht="15.75" customHeight="1">
      <c r="F190" s="32"/>
    </row>
    <row r="191" ht="15.75" customHeight="1">
      <c r="F191" s="32"/>
    </row>
    <row r="192" ht="15.75" customHeight="1">
      <c r="F192" s="32"/>
    </row>
    <row r="193" ht="15.75" customHeight="1">
      <c r="F193" s="32"/>
    </row>
    <row r="194" ht="15.75" customHeight="1">
      <c r="F194" s="32"/>
    </row>
    <row r="195" ht="15.75" customHeight="1">
      <c r="F195" s="32"/>
    </row>
    <row r="196" ht="15.75" customHeight="1">
      <c r="F196" s="32"/>
    </row>
    <row r="197" ht="15.75" customHeight="1">
      <c r="F197" s="32"/>
    </row>
    <row r="198" ht="15.75" customHeight="1">
      <c r="F198" s="32"/>
    </row>
    <row r="199" ht="15.75" customHeight="1">
      <c r="F199" s="32"/>
    </row>
    <row r="200" ht="15.75" customHeight="1">
      <c r="F200" s="32"/>
    </row>
    <row r="201" ht="15.75" customHeight="1">
      <c r="F201" s="32"/>
    </row>
    <row r="202" ht="15.75" customHeight="1">
      <c r="F202" s="32"/>
    </row>
    <row r="203" ht="15.75" customHeight="1">
      <c r="F203" s="32"/>
    </row>
    <row r="204" ht="15.75" customHeight="1">
      <c r="F204" s="32"/>
    </row>
    <row r="205" ht="15.75" customHeight="1">
      <c r="F205" s="32"/>
    </row>
    <row r="206" ht="15.75" customHeight="1">
      <c r="F206" s="32"/>
    </row>
    <row r="207" ht="15.75" customHeight="1">
      <c r="F207" s="32"/>
    </row>
    <row r="208" ht="15.75" customHeight="1">
      <c r="F208" s="32"/>
    </row>
    <row r="209" ht="15.75" customHeight="1">
      <c r="F209" s="32"/>
    </row>
    <row r="210" ht="15.75" customHeight="1">
      <c r="F210" s="32"/>
    </row>
    <row r="211" ht="15.75" customHeight="1">
      <c r="F211" s="32"/>
    </row>
    <row r="212" ht="15.75" customHeight="1">
      <c r="F212" s="32"/>
    </row>
    <row r="213" ht="15.75" customHeight="1">
      <c r="F213" s="32"/>
    </row>
    <row r="214" ht="15.75" customHeight="1">
      <c r="F214" s="32"/>
    </row>
    <row r="215" ht="15.75" customHeight="1">
      <c r="F215" s="32"/>
    </row>
    <row r="216" ht="15.75" customHeight="1">
      <c r="F216" s="32"/>
    </row>
    <row r="217" ht="15.75" customHeight="1">
      <c r="F217" s="32"/>
    </row>
    <row r="218" ht="15.75" customHeight="1">
      <c r="F218" s="32"/>
    </row>
    <row r="219" ht="15.75" customHeight="1">
      <c r="F219" s="32"/>
    </row>
    <row r="220" ht="15.75" customHeight="1">
      <c r="F220" s="32"/>
    </row>
    <row r="221" ht="15.75" customHeight="1">
      <c r="F221" s="32"/>
    </row>
    <row r="222" ht="15.75" customHeight="1">
      <c r="F222" s="32"/>
    </row>
    <row r="223" ht="15.75" customHeight="1">
      <c r="F223" s="32"/>
    </row>
    <row r="224" ht="15.75" customHeight="1">
      <c r="F224" s="32"/>
    </row>
    <row r="225" ht="15.75" customHeight="1">
      <c r="F225" s="32"/>
    </row>
    <row r="226" ht="15.75" customHeight="1">
      <c r="F226" s="32"/>
    </row>
    <row r="227" ht="15.75" customHeight="1">
      <c r="F227" s="32"/>
    </row>
    <row r="228" ht="15.75" customHeight="1">
      <c r="F228" s="32"/>
    </row>
    <row r="229" ht="15.75" customHeight="1">
      <c r="F229" s="32"/>
    </row>
    <row r="230" ht="15.75" customHeight="1">
      <c r="F230" s="32"/>
    </row>
    <row r="231" ht="15.75" customHeight="1">
      <c r="F231" s="32"/>
    </row>
    <row r="232" ht="15.75" customHeight="1">
      <c r="F232" s="32"/>
    </row>
    <row r="233" ht="15.75" customHeight="1">
      <c r="F233" s="32"/>
    </row>
    <row r="234" ht="15.75" customHeight="1">
      <c r="F234" s="32"/>
    </row>
    <row r="235" ht="15.75" customHeight="1">
      <c r="F235" s="32"/>
    </row>
    <row r="236" ht="15.75" customHeight="1">
      <c r="F236" s="32"/>
    </row>
    <row r="237" ht="15.75" customHeight="1">
      <c r="F237" s="32"/>
    </row>
    <row r="238" ht="15.75" customHeight="1">
      <c r="F238" s="32"/>
    </row>
    <row r="239" ht="15.75" customHeight="1">
      <c r="F239" s="32"/>
    </row>
    <row r="240" ht="15.75" customHeight="1">
      <c r="F240" s="32"/>
    </row>
    <row r="241" ht="15.75" customHeight="1">
      <c r="F241" s="32"/>
    </row>
    <row r="242" ht="15.75" customHeight="1">
      <c r="F242" s="32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E3:L3"/>
  </mergeCells>
  <dataValidations>
    <dataValidation type="list" allowBlank="1" showErrorMessage="1" sqref="F4:F42">
      <formula1>"Corrupção,Fraude,Desvio de Conduta"</formula1>
    </dataValidation>
    <dataValidation type="list" allowBlank="1" showErrorMessage="1" sqref="E3:E42">
      <formula1>"Estratégico,Financeiro/orçamentário,Operacionais,Legal/de conformidade,Imagem/reputação,Integridade"</formula1>
    </dataValidation>
    <dataValidation type="list" allowBlank="1" showErrorMessage="1" sqref="D3:D42">
      <formula1>"Ameaça,Oportunidade"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17.75"/>
    <col customWidth="1" min="3" max="3" width="7.38"/>
    <col customWidth="1" min="4" max="4" width="14.38"/>
    <col customWidth="1" min="5" max="5" width="7.38"/>
    <col customWidth="1" min="6" max="6" width="19.63"/>
    <col customWidth="1" min="7" max="7" width="19.75"/>
    <col customWidth="1" min="8" max="8" width="22.0"/>
    <col customWidth="1" min="9" max="9" width="37.0"/>
    <col customWidth="1" min="10" max="14" width="14.38"/>
  </cols>
  <sheetData>
    <row r="1" ht="15.75" customHeight="1">
      <c r="A1" s="33" t="s">
        <v>62</v>
      </c>
      <c r="B1" s="20"/>
      <c r="C1" s="20"/>
      <c r="D1" s="20"/>
      <c r="E1" s="20"/>
      <c r="F1" s="20"/>
      <c r="G1" s="2"/>
      <c r="H1" s="33" t="s">
        <v>63</v>
      </c>
      <c r="I1" s="20"/>
      <c r="J1" s="2"/>
      <c r="K1" s="34"/>
      <c r="L1" s="34"/>
      <c r="M1" s="33" t="s">
        <v>64</v>
      </c>
      <c r="N1" s="2"/>
    </row>
    <row r="2">
      <c r="A2" s="35" t="s">
        <v>65</v>
      </c>
      <c r="B2" s="35" t="s">
        <v>66</v>
      </c>
      <c r="C2" s="35" t="s">
        <v>67</v>
      </c>
      <c r="D2" s="35" t="s">
        <v>68</v>
      </c>
      <c r="E2" s="35" t="s">
        <v>69</v>
      </c>
      <c r="F2" s="35" t="s">
        <v>70</v>
      </c>
      <c r="G2" s="36" t="s">
        <v>71</v>
      </c>
      <c r="H2" s="37" t="s">
        <v>72</v>
      </c>
      <c r="I2" s="37" t="s">
        <v>73</v>
      </c>
      <c r="J2" s="36" t="s">
        <v>63</v>
      </c>
      <c r="K2" s="36" t="s">
        <v>74</v>
      </c>
      <c r="L2" s="36" t="s">
        <v>64</v>
      </c>
      <c r="M2" s="38" t="s">
        <v>75</v>
      </c>
      <c r="N2" s="39" t="s">
        <v>76</v>
      </c>
    </row>
    <row r="3" ht="15.75" customHeight="1">
      <c r="A3" s="40" t="str">
        <f>'ETAPA 2. IDENTIFICAÇÃO DE EVENT'!C3</f>
        <v>Imediato</v>
      </c>
      <c r="B3" s="41" t="s">
        <v>77</v>
      </c>
      <c r="C3" s="27">
        <f t="shared" ref="C3:C31" si="1">IF(B3 = "Muito alta", 10, IF(B3 = "Alta", 8, IF(B3 = "Média", 5, IF(B3 = "Baixa", 2, IF(B3 = "Muito baixa", 1,0)))))</f>
        <v>5</v>
      </c>
      <c r="D3" s="41" t="s">
        <v>78</v>
      </c>
      <c r="E3" s="27">
        <f t="shared" ref="E3:E31" si="2">IF(D3 = "Muito alto", 10, IF(D3 = "Alto", 8, IF(D3 = "Médio", 5, IF(D3 = "Baixo", 2, IF(D3 = "Muito baixo", 1,0)))))</f>
        <v>10</v>
      </c>
      <c r="F3" s="27">
        <f t="shared" ref="F3:F31" si="3">C3*E3</f>
        <v>50</v>
      </c>
      <c r="G3" s="27" t="str">
        <f t="shared" ref="G3:G14" si="4">IF(F3=0,"",IF(F3&lt;10, "Risco Baixo", IF(F3&lt;40, "Risco Médio", IF(F3&lt;80, "Risco Alto", "Risco Extremo"))))</f>
        <v>Risco Alto</v>
      </c>
      <c r="H3" s="42"/>
      <c r="I3" s="42"/>
      <c r="J3" s="41" t="s">
        <v>79</v>
      </c>
      <c r="K3" s="27">
        <f t="shared" ref="K3:K31" si="5">IF(J3 = "Inexistente", 1, IF(J3 = "Fraco", 0.8, IF(J3 = "Mediano", 0.6, IF(J3 = "Satisfatório", 0.4, IF(J3 = "Forte", 0.2,0)))))</f>
        <v>0.6</v>
      </c>
      <c r="L3" s="43">
        <f t="shared" ref="L3:L31" si="6">K3*F3</f>
        <v>30</v>
      </c>
      <c r="M3" s="44" t="str">
        <f t="shared" ref="M3:M31" si="7">IF(L3=0,"",IF(L3&lt;10, "Risco Baixo", IF(L3&lt;40, "Risco Médio", IF(L3&lt;80, "Risco Alto", "Risco Extremo"))))</f>
        <v>Risco Médio</v>
      </c>
      <c r="N3" s="45">
        <v>45994.0</v>
      </c>
    </row>
    <row r="4" ht="15.75" customHeight="1">
      <c r="A4" s="40" t="str">
        <f>'ETAPA 2. IDENTIFICAÇÃO DE EVENT'!C4</f>
        <v>Entrega de diploma com dados incorretos (ex: nome do curso, data, nome do aluno).</v>
      </c>
      <c r="B4" s="41" t="s">
        <v>80</v>
      </c>
      <c r="C4" s="27">
        <f t="shared" si="1"/>
        <v>8</v>
      </c>
      <c r="D4" s="41" t="s">
        <v>78</v>
      </c>
      <c r="E4" s="27">
        <f t="shared" si="2"/>
        <v>10</v>
      </c>
      <c r="F4" s="27">
        <f t="shared" si="3"/>
        <v>80</v>
      </c>
      <c r="G4" s="27" t="str">
        <f t="shared" si="4"/>
        <v>Risco Extremo</v>
      </c>
      <c r="H4" s="46" t="s">
        <v>81</v>
      </c>
      <c r="I4" s="46" t="s">
        <v>82</v>
      </c>
      <c r="J4" s="41" t="s">
        <v>83</v>
      </c>
      <c r="K4" s="27">
        <f t="shared" si="5"/>
        <v>0.2</v>
      </c>
      <c r="L4" s="43">
        <f t="shared" si="6"/>
        <v>16</v>
      </c>
      <c r="M4" s="44" t="str">
        <f t="shared" si="7"/>
        <v>Risco Médio</v>
      </c>
      <c r="N4" s="45">
        <v>45994.0</v>
      </c>
    </row>
    <row r="5" ht="15.75" customHeight="1">
      <c r="A5" s="40" t="str">
        <f>'ETAPA 2. IDENTIFICAÇÃO DE EVENT'!C5</f>
        <v>Não comparecimento (ausência) da autoridade máxima (Reitor/Diretor) na data marcada.</v>
      </c>
      <c r="B5" s="41" t="s">
        <v>77</v>
      </c>
      <c r="C5" s="27">
        <f t="shared" si="1"/>
        <v>5</v>
      </c>
      <c r="D5" s="41" t="s">
        <v>84</v>
      </c>
      <c r="E5" s="27">
        <f t="shared" si="2"/>
        <v>8</v>
      </c>
      <c r="F5" s="27">
        <f t="shared" si="3"/>
        <v>40</v>
      </c>
      <c r="G5" s="27" t="str">
        <f t="shared" si="4"/>
        <v>Risco Alto</v>
      </c>
      <c r="H5" s="46" t="s">
        <v>85</v>
      </c>
      <c r="I5" s="46" t="s">
        <v>86</v>
      </c>
      <c r="J5" s="41" t="s">
        <v>79</v>
      </c>
      <c r="K5" s="27">
        <f t="shared" si="5"/>
        <v>0.6</v>
      </c>
      <c r="L5" s="43">
        <f t="shared" si="6"/>
        <v>24</v>
      </c>
      <c r="M5" s="44" t="str">
        <f t="shared" si="7"/>
        <v>Risco Médio</v>
      </c>
      <c r="N5" s="45">
        <v>45994.0</v>
      </c>
    </row>
    <row r="6" ht="15.75" customHeight="1">
      <c r="A6" s="40" t="str">
        <f>'ETAPA 2. IDENTIFICAÇÃO DE EVENT'!C6</f>
        <v>Superlotação do local, excedendo a capacidade de segurança e conforto (falha no controle de convites).</v>
      </c>
      <c r="B6" s="41" t="s">
        <v>80</v>
      </c>
      <c r="C6" s="27">
        <f t="shared" si="1"/>
        <v>8</v>
      </c>
      <c r="D6" s="41" t="s">
        <v>84</v>
      </c>
      <c r="E6" s="27">
        <f t="shared" si="2"/>
        <v>8</v>
      </c>
      <c r="F6" s="27">
        <f t="shared" si="3"/>
        <v>64</v>
      </c>
      <c r="G6" s="27" t="str">
        <f t="shared" si="4"/>
        <v>Risco Alto</v>
      </c>
      <c r="H6" s="46" t="s">
        <v>87</v>
      </c>
      <c r="I6" s="46" t="s">
        <v>88</v>
      </c>
      <c r="J6" s="41" t="s">
        <v>83</v>
      </c>
      <c r="K6" s="27">
        <f t="shared" si="5"/>
        <v>0.2</v>
      </c>
      <c r="L6" s="43">
        <f t="shared" si="6"/>
        <v>12.8</v>
      </c>
      <c r="M6" s="44" t="str">
        <f t="shared" si="7"/>
        <v>Risco Médio</v>
      </c>
      <c r="N6" s="45">
        <v>45994.0</v>
      </c>
    </row>
    <row r="7" ht="15.75" customHeight="1">
      <c r="A7" s="40" t="str">
        <f>'ETAPA 2. IDENTIFICAÇÃO DE EVENT'!C7</f>
        <v>Entrega do diploma ao formando errado devido à falha de identificação no momento da retirada.</v>
      </c>
      <c r="B7" s="41" t="s">
        <v>89</v>
      </c>
      <c r="C7" s="27">
        <f t="shared" si="1"/>
        <v>10</v>
      </c>
      <c r="D7" s="41" t="s">
        <v>78</v>
      </c>
      <c r="E7" s="27">
        <f t="shared" si="2"/>
        <v>10</v>
      </c>
      <c r="F7" s="27">
        <f t="shared" si="3"/>
        <v>100</v>
      </c>
      <c r="G7" s="27" t="str">
        <f t="shared" si="4"/>
        <v>Risco Extremo</v>
      </c>
      <c r="H7" s="46" t="s">
        <v>90</v>
      </c>
      <c r="I7" s="46" t="s">
        <v>91</v>
      </c>
      <c r="J7" s="41" t="s">
        <v>92</v>
      </c>
      <c r="K7" s="27">
        <f t="shared" si="5"/>
        <v>0.4</v>
      </c>
      <c r="L7" s="43">
        <f t="shared" si="6"/>
        <v>40</v>
      </c>
      <c r="M7" s="44" t="str">
        <f t="shared" si="7"/>
        <v>Risco Alto</v>
      </c>
      <c r="N7" s="45">
        <v>45994.0</v>
      </c>
    </row>
    <row r="8" ht="15.75" customHeight="1">
      <c r="A8" s="40" t="str">
        <f>'ETAPA 2. IDENTIFICAÇÃO DE EVENT'!C8</f>
        <v>Tentativa de fraude (colação de grau por procuração falsa ou retirada de diploma por terceiros não autorizados).</v>
      </c>
      <c r="B8" s="41" t="s">
        <v>77</v>
      </c>
      <c r="C8" s="27">
        <f t="shared" si="1"/>
        <v>5</v>
      </c>
      <c r="D8" s="41" t="s">
        <v>84</v>
      </c>
      <c r="E8" s="27">
        <f t="shared" si="2"/>
        <v>8</v>
      </c>
      <c r="F8" s="27">
        <f t="shared" si="3"/>
        <v>40</v>
      </c>
      <c r="G8" s="27" t="str">
        <f t="shared" si="4"/>
        <v>Risco Alto</v>
      </c>
      <c r="H8" s="46" t="s">
        <v>93</v>
      </c>
      <c r="I8" s="46" t="s">
        <v>94</v>
      </c>
      <c r="J8" s="41" t="s">
        <v>79</v>
      </c>
      <c r="K8" s="27">
        <f t="shared" si="5"/>
        <v>0.6</v>
      </c>
      <c r="L8" s="43">
        <f t="shared" si="6"/>
        <v>24</v>
      </c>
      <c r="M8" s="44" t="str">
        <f t="shared" si="7"/>
        <v>Risco Médio</v>
      </c>
      <c r="N8" s="45">
        <v>45994.0</v>
      </c>
    </row>
    <row r="9" ht="15.75" customHeight="1">
      <c r="A9" s="40" t="str">
        <f>'ETAPA 2. IDENTIFICAÇÃO DE EVENT'!C9</f>
        <v>Falha técnica nos equipamentos de som ou projeção durante a solenidade (microfones, telões, iluminação).</v>
      </c>
      <c r="B9" s="41" t="s">
        <v>80</v>
      </c>
      <c r="C9" s="27">
        <f t="shared" si="1"/>
        <v>8</v>
      </c>
      <c r="D9" s="41" t="s">
        <v>78</v>
      </c>
      <c r="E9" s="27">
        <f t="shared" si="2"/>
        <v>10</v>
      </c>
      <c r="F9" s="27">
        <f t="shared" si="3"/>
        <v>80</v>
      </c>
      <c r="G9" s="27" t="str">
        <f t="shared" si="4"/>
        <v>Risco Extremo</v>
      </c>
      <c r="H9" s="46" t="s">
        <v>95</v>
      </c>
      <c r="I9" s="46" t="s">
        <v>96</v>
      </c>
      <c r="J9" s="41" t="s">
        <v>83</v>
      </c>
      <c r="K9" s="27">
        <f t="shared" si="5"/>
        <v>0.2</v>
      </c>
      <c r="L9" s="43">
        <f t="shared" si="6"/>
        <v>16</v>
      </c>
      <c r="M9" s="44" t="str">
        <f t="shared" si="7"/>
        <v>Risco Médio</v>
      </c>
      <c r="N9" s="45">
        <v>45994.0</v>
      </c>
    </row>
    <row r="10" ht="15.75" customHeight="1">
      <c r="A10" s="40" t="str">
        <f>'ETAPA 2. IDENTIFICAÇÃO DE EVENT'!C10</f>
        <v>O número de diplomas prontos para entrega é menor que o número de formandos aptos confirmados.</v>
      </c>
      <c r="B10" s="41" t="s">
        <v>77</v>
      </c>
      <c r="C10" s="27">
        <f t="shared" si="1"/>
        <v>5</v>
      </c>
      <c r="D10" s="41" t="s">
        <v>78</v>
      </c>
      <c r="E10" s="27">
        <f t="shared" si="2"/>
        <v>10</v>
      </c>
      <c r="F10" s="27">
        <f t="shared" si="3"/>
        <v>50</v>
      </c>
      <c r="G10" s="27" t="str">
        <f t="shared" si="4"/>
        <v>Risco Alto</v>
      </c>
      <c r="H10" s="46" t="s">
        <v>97</v>
      </c>
      <c r="I10" s="46" t="s">
        <v>98</v>
      </c>
      <c r="J10" s="41" t="s">
        <v>83</v>
      </c>
      <c r="K10" s="27">
        <f t="shared" si="5"/>
        <v>0.2</v>
      </c>
      <c r="L10" s="43">
        <f t="shared" si="6"/>
        <v>10</v>
      </c>
      <c r="M10" s="44" t="str">
        <f t="shared" si="7"/>
        <v>Risco Médio</v>
      </c>
      <c r="N10" s="45">
        <v>45994.0</v>
      </c>
    </row>
    <row r="11" ht="15.75" customHeight="1">
      <c r="A11" s="40" t="str">
        <f>'ETAPA 2. IDENTIFICAÇÃO DE EVENT'!C11</f>
        <v>Divulgação de notícias negativas ou reclamações públicas (ex: em redes sociais) sobre a má organização ou atrasos excessivos.</v>
      </c>
      <c r="B11" s="41" t="s">
        <v>77</v>
      </c>
      <c r="C11" s="27">
        <f t="shared" si="1"/>
        <v>5</v>
      </c>
      <c r="D11" s="41" t="s">
        <v>84</v>
      </c>
      <c r="E11" s="27">
        <f t="shared" si="2"/>
        <v>8</v>
      </c>
      <c r="F11" s="27">
        <f t="shared" si="3"/>
        <v>40</v>
      </c>
      <c r="G11" s="27" t="str">
        <f t="shared" si="4"/>
        <v>Risco Alto</v>
      </c>
      <c r="H11" s="46" t="s">
        <v>99</v>
      </c>
      <c r="I11" s="46" t="s">
        <v>100</v>
      </c>
      <c r="J11" s="41" t="s">
        <v>92</v>
      </c>
      <c r="K11" s="27">
        <f t="shared" si="5"/>
        <v>0.4</v>
      </c>
      <c r="L11" s="43">
        <f t="shared" si="6"/>
        <v>16</v>
      </c>
      <c r="M11" s="44" t="str">
        <f t="shared" si="7"/>
        <v>Risco Médio</v>
      </c>
      <c r="N11" s="45">
        <v>45994.0</v>
      </c>
    </row>
    <row r="12" ht="15.75" customHeight="1">
      <c r="A12" s="40" t="str">
        <f>'ETAPA 2. IDENTIFICAÇÃO DE EVENT'!C12</f>
        <v>Ocorrência de acidentes ou incidentes físicos com convidados ou formandos nas dependências do local do evento.</v>
      </c>
      <c r="B12" s="41" t="s">
        <v>80</v>
      </c>
      <c r="C12" s="27">
        <f t="shared" si="1"/>
        <v>8</v>
      </c>
      <c r="D12" s="41" t="s">
        <v>84</v>
      </c>
      <c r="E12" s="27">
        <f t="shared" si="2"/>
        <v>8</v>
      </c>
      <c r="F12" s="27">
        <f t="shared" si="3"/>
        <v>64</v>
      </c>
      <c r="G12" s="27" t="str">
        <f t="shared" si="4"/>
        <v>Risco Alto</v>
      </c>
      <c r="H12" s="46" t="s">
        <v>101</v>
      </c>
      <c r="I12" s="46" t="s">
        <v>102</v>
      </c>
      <c r="J12" s="41" t="s">
        <v>83</v>
      </c>
      <c r="K12" s="27">
        <f t="shared" si="5"/>
        <v>0.2</v>
      </c>
      <c r="L12" s="43">
        <f t="shared" si="6"/>
        <v>12.8</v>
      </c>
      <c r="M12" s="44" t="str">
        <f t="shared" si="7"/>
        <v>Risco Médio</v>
      </c>
      <c r="N12" s="45">
        <v>45994.0</v>
      </c>
    </row>
    <row r="13" ht="15.75" customHeight="1">
      <c r="A13" s="40" t="str">
        <f>'ETAPA 2. IDENTIFICAÇÃO DE EVENT'!C13</f>
        <v>Atraso na liberação ou entrega do espaço físico (auditório/teatro) para a montagem no dia do evento.</v>
      </c>
      <c r="B13" s="41" t="s">
        <v>103</v>
      </c>
      <c r="C13" s="27">
        <f t="shared" si="1"/>
        <v>2</v>
      </c>
      <c r="D13" s="41" t="s">
        <v>78</v>
      </c>
      <c r="E13" s="27">
        <f t="shared" si="2"/>
        <v>10</v>
      </c>
      <c r="F13" s="27">
        <f t="shared" si="3"/>
        <v>20</v>
      </c>
      <c r="G13" s="27" t="str">
        <f t="shared" si="4"/>
        <v>Risco Médio</v>
      </c>
      <c r="H13" s="46" t="s">
        <v>104</v>
      </c>
      <c r="I13" s="46" t="s">
        <v>105</v>
      </c>
      <c r="J13" s="41" t="s">
        <v>83</v>
      </c>
      <c r="K13" s="27">
        <f t="shared" si="5"/>
        <v>0.2</v>
      </c>
      <c r="L13" s="43">
        <f t="shared" si="6"/>
        <v>4</v>
      </c>
      <c r="M13" s="44" t="str">
        <f t="shared" si="7"/>
        <v>Risco Baixo</v>
      </c>
      <c r="N13" s="45">
        <v>45994.0</v>
      </c>
    </row>
    <row r="14" ht="15.75" customHeight="1">
      <c r="A14" s="40" t="str">
        <f>'ETAPA 2. IDENTIFICAÇÃO DE EVENT'!C14</f>
        <v/>
      </c>
      <c r="B14" s="40"/>
      <c r="C14" s="27">
        <f t="shared" si="1"/>
        <v>0</v>
      </c>
      <c r="D14" s="40"/>
      <c r="E14" s="27">
        <f t="shared" si="2"/>
        <v>0</v>
      </c>
      <c r="F14" s="27">
        <f t="shared" si="3"/>
        <v>0</v>
      </c>
      <c r="G14" s="27" t="str">
        <f t="shared" si="4"/>
        <v/>
      </c>
      <c r="H14" s="42"/>
      <c r="I14" s="42"/>
      <c r="J14" s="40"/>
      <c r="K14" s="27">
        <f t="shared" si="5"/>
        <v>0</v>
      </c>
      <c r="L14" s="43">
        <f t="shared" si="6"/>
        <v>0</v>
      </c>
      <c r="M14" s="44" t="str">
        <f t="shared" si="7"/>
        <v/>
      </c>
      <c r="N14" s="47"/>
    </row>
    <row r="15" ht="15.75" customHeight="1">
      <c r="A15" s="40" t="str">
        <f>'ETAPA 2. IDENTIFICAÇÃO DE EVENT'!C15</f>
        <v/>
      </c>
      <c r="B15" s="40"/>
      <c r="C15" s="27">
        <f t="shared" si="1"/>
        <v>0</v>
      </c>
      <c r="D15" s="40"/>
      <c r="E15" s="27">
        <f t="shared" si="2"/>
        <v>0</v>
      </c>
      <c r="F15" s="27">
        <f t="shared" si="3"/>
        <v>0</v>
      </c>
      <c r="G15" s="27"/>
      <c r="H15" s="42"/>
      <c r="I15" s="42"/>
      <c r="J15" s="40"/>
      <c r="K15" s="27">
        <f t="shared" si="5"/>
        <v>0</v>
      </c>
      <c r="L15" s="43">
        <f t="shared" si="6"/>
        <v>0</v>
      </c>
      <c r="M15" s="44" t="str">
        <f t="shared" si="7"/>
        <v/>
      </c>
      <c r="N15" s="47"/>
    </row>
    <row r="16" ht="15.75" customHeight="1">
      <c r="A16" s="40" t="str">
        <f>'ETAPA 2. IDENTIFICAÇÃO DE EVENT'!C16</f>
        <v/>
      </c>
      <c r="B16" s="40"/>
      <c r="C16" s="27">
        <f t="shared" si="1"/>
        <v>0</v>
      </c>
      <c r="D16" s="40"/>
      <c r="E16" s="27">
        <f t="shared" si="2"/>
        <v>0</v>
      </c>
      <c r="F16" s="27">
        <f t="shared" si="3"/>
        <v>0</v>
      </c>
      <c r="G16" s="27" t="str">
        <f t="shared" ref="G16:G31" si="8">IF(F16=0,"",IF(F16&lt;10, "Risco Baixo", IF(F16&lt;40, "Risco Médio", IF(F16&lt;80, "Risco Alto", "Risco Extremo"))))</f>
        <v/>
      </c>
      <c r="H16" s="42"/>
      <c r="I16" s="42"/>
      <c r="J16" s="41" t="s">
        <v>106</v>
      </c>
      <c r="K16" s="27">
        <f t="shared" si="5"/>
        <v>1</v>
      </c>
      <c r="L16" s="43">
        <f t="shared" si="6"/>
        <v>0</v>
      </c>
      <c r="M16" s="44" t="str">
        <f t="shared" si="7"/>
        <v/>
      </c>
      <c r="N16" s="47"/>
    </row>
    <row r="17" ht="15.75" customHeight="1">
      <c r="A17" s="40" t="str">
        <f>'ETAPA 2. IDENTIFICAÇÃO DE EVENT'!C17</f>
        <v/>
      </c>
      <c r="B17" s="40"/>
      <c r="C17" s="27">
        <f t="shared" si="1"/>
        <v>0</v>
      </c>
      <c r="D17" s="40"/>
      <c r="E17" s="27">
        <f t="shared" si="2"/>
        <v>0</v>
      </c>
      <c r="F17" s="27">
        <f t="shared" si="3"/>
        <v>0</v>
      </c>
      <c r="G17" s="27" t="str">
        <f t="shared" si="8"/>
        <v/>
      </c>
      <c r="H17" s="42"/>
      <c r="I17" s="42"/>
      <c r="J17" s="40"/>
      <c r="K17" s="27">
        <f t="shared" si="5"/>
        <v>0</v>
      </c>
      <c r="L17" s="43">
        <f t="shared" si="6"/>
        <v>0</v>
      </c>
      <c r="M17" s="44" t="str">
        <f t="shared" si="7"/>
        <v/>
      </c>
      <c r="N17" s="47"/>
    </row>
    <row r="18" ht="15.75" customHeight="1">
      <c r="A18" s="40" t="str">
        <f>'ETAPA 2. IDENTIFICAÇÃO DE EVENT'!C18</f>
        <v/>
      </c>
      <c r="B18" s="40"/>
      <c r="C18" s="27">
        <f t="shared" si="1"/>
        <v>0</v>
      </c>
      <c r="D18" s="40"/>
      <c r="E18" s="27">
        <f t="shared" si="2"/>
        <v>0</v>
      </c>
      <c r="F18" s="27">
        <f t="shared" si="3"/>
        <v>0</v>
      </c>
      <c r="G18" s="27" t="str">
        <f t="shared" si="8"/>
        <v/>
      </c>
      <c r="H18" s="42"/>
      <c r="I18" s="42"/>
      <c r="J18" s="40"/>
      <c r="K18" s="27">
        <f t="shared" si="5"/>
        <v>0</v>
      </c>
      <c r="L18" s="43">
        <f t="shared" si="6"/>
        <v>0</v>
      </c>
      <c r="M18" s="44" t="str">
        <f t="shared" si="7"/>
        <v/>
      </c>
      <c r="N18" s="47"/>
    </row>
    <row r="19" ht="15.75" customHeight="1">
      <c r="A19" s="40" t="str">
        <f>'ETAPA 2. IDENTIFICAÇÃO DE EVENT'!C19</f>
        <v/>
      </c>
      <c r="B19" s="40"/>
      <c r="C19" s="27">
        <f t="shared" si="1"/>
        <v>0</v>
      </c>
      <c r="D19" s="40"/>
      <c r="E19" s="27">
        <f t="shared" si="2"/>
        <v>0</v>
      </c>
      <c r="F19" s="27">
        <f t="shared" si="3"/>
        <v>0</v>
      </c>
      <c r="G19" s="27" t="str">
        <f t="shared" si="8"/>
        <v/>
      </c>
      <c r="H19" s="42"/>
      <c r="I19" s="42"/>
      <c r="J19" s="40"/>
      <c r="K19" s="27">
        <f t="shared" si="5"/>
        <v>0</v>
      </c>
      <c r="L19" s="43">
        <f t="shared" si="6"/>
        <v>0</v>
      </c>
      <c r="M19" s="44" t="str">
        <f t="shared" si="7"/>
        <v/>
      </c>
      <c r="N19" s="47"/>
    </row>
    <row r="20" ht="15.75" customHeight="1">
      <c r="A20" s="40" t="str">
        <f>'ETAPA 2. IDENTIFICAÇÃO DE EVENT'!C20</f>
        <v/>
      </c>
      <c r="B20" s="40"/>
      <c r="C20" s="27">
        <f t="shared" si="1"/>
        <v>0</v>
      </c>
      <c r="D20" s="40"/>
      <c r="E20" s="27">
        <f t="shared" si="2"/>
        <v>0</v>
      </c>
      <c r="F20" s="27">
        <f t="shared" si="3"/>
        <v>0</v>
      </c>
      <c r="G20" s="27" t="str">
        <f t="shared" si="8"/>
        <v/>
      </c>
      <c r="H20" s="42"/>
      <c r="I20" s="42"/>
      <c r="J20" s="40"/>
      <c r="K20" s="27">
        <f t="shared" si="5"/>
        <v>0</v>
      </c>
      <c r="L20" s="43">
        <f t="shared" si="6"/>
        <v>0</v>
      </c>
      <c r="M20" s="44" t="str">
        <f t="shared" si="7"/>
        <v/>
      </c>
      <c r="N20" s="47"/>
    </row>
    <row r="21" ht="15.75" customHeight="1">
      <c r="A21" s="40" t="str">
        <f>'ETAPA 2. IDENTIFICAÇÃO DE EVENT'!C21</f>
        <v/>
      </c>
      <c r="B21" s="40"/>
      <c r="C21" s="27">
        <f t="shared" si="1"/>
        <v>0</v>
      </c>
      <c r="D21" s="40"/>
      <c r="E21" s="27">
        <f t="shared" si="2"/>
        <v>0</v>
      </c>
      <c r="F21" s="27">
        <f t="shared" si="3"/>
        <v>0</v>
      </c>
      <c r="G21" s="27" t="str">
        <f t="shared" si="8"/>
        <v/>
      </c>
      <c r="H21" s="42"/>
      <c r="I21" s="42"/>
      <c r="J21" s="40"/>
      <c r="K21" s="27">
        <f t="shared" si="5"/>
        <v>0</v>
      </c>
      <c r="L21" s="43">
        <f t="shared" si="6"/>
        <v>0</v>
      </c>
      <c r="M21" s="44" t="str">
        <f t="shared" si="7"/>
        <v/>
      </c>
      <c r="N21" s="47"/>
    </row>
    <row r="22" ht="15.75" customHeight="1">
      <c r="A22" s="40" t="str">
        <f>'ETAPA 2. IDENTIFICAÇÃO DE EVENT'!C22</f>
        <v/>
      </c>
      <c r="B22" s="40"/>
      <c r="C22" s="27">
        <f t="shared" si="1"/>
        <v>0</v>
      </c>
      <c r="D22" s="40"/>
      <c r="E22" s="27">
        <f t="shared" si="2"/>
        <v>0</v>
      </c>
      <c r="F22" s="27">
        <f t="shared" si="3"/>
        <v>0</v>
      </c>
      <c r="G22" s="27" t="str">
        <f t="shared" si="8"/>
        <v/>
      </c>
      <c r="H22" s="42"/>
      <c r="I22" s="42"/>
      <c r="J22" s="40"/>
      <c r="K22" s="27">
        <f t="shared" si="5"/>
        <v>0</v>
      </c>
      <c r="L22" s="43">
        <f t="shared" si="6"/>
        <v>0</v>
      </c>
      <c r="M22" s="44" t="str">
        <f t="shared" si="7"/>
        <v/>
      </c>
      <c r="N22" s="47"/>
    </row>
    <row r="23" ht="15.75" customHeight="1">
      <c r="A23" s="40" t="str">
        <f>'ETAPA 2. IDENTIFICAÇÃO DE EVENT'!C23</f>
        <v/>
      </c>
      <c r="B23" s="40"/>
      <c r="C23" s="27">
        <f t="shared" si="1"/>
        <v>0</v>
      </c>
      <c r="D23" s="40"/>
      <c r="E23" s="27">
        <f t="shared" si="2"/>
        <v>0</v>
      </c>
      <c r="F23" s="27">
        <f t="shared" si="3"/>
        <v>0</v>
      </c>
      <c r="G23" s="27" t="str">
        <f t="shared" si="8"/>
        <v/>
      </c>
      <c r="H23" s="42"/>
      <c r="I23" s="42"/>
      <c r="J23" s="40"/>
      <c r="K23" s="27">
        <f t="shared" si="5"/>
        <v>0</v>
      </c>
      <c r="L23" s="43">
        <f t="shared" si="6"/>
        <v>0</v>
      </c>
      <c r="M23" s="44" t="str">
        <f t="shared" si="7"/>
        <v/>
      </c>
      <c r="N23" s="47"/>
    </row>
    <row r="24" ht="15.75" customHeight="1">
      <c r="A24" s="40" t="str">
        <f>'ETAPA 2. IDENTIFICAÇÃO DE EVENT'!C24</f>
        <v/>
      </c>
      <c r="B24" s="40"/>
      <c r="C24" s="27">
        <f t="shared" si="1"/>
        <v>0</v>
      </c>
      <c r="D24" s="40"/>
      <c r="E24" s="27">
        <f t="shared" si="2"/>
        <v>0</v>
      </c>
      <c r="F24" s="27">
        <f t="shared" si="3"/>
        <v>0</v>
      </c>
      <c r="G24" s="27" t="str">
        <f t="shared" si="8"/>
        <v/>
      </c>
      <c r="H24" s="42"/>
      <c r="I24" s="42"/>
      <c r="J24" s="40"/>
      <c r="K24" s="27">
        <f t="shared" si="5"/>
        <v>0</v>
      </c>
      <c r="L24" s="43">
        <f t="shared" si="6"/>
        <v>0</v>
      </c>
      <c r="M24" s="44" t="str">
        <f t="shared" si="7"/>
        <v/>
      </c>
      <c r="N24" s="47"/>
    </row>
    <row r="25" ht="15.75" customHeight="1">
      <c r="A25" s="40" t="str">
        <f>'ETAPA 2. IDENTIFICAÇÃO DE EVENT'!C25</f>
        <v/>
      </c>
      <c r="B25" s="40"/>
      <c r="C25" s="27">
        <f t="shared" si="1"/>
        <v>0</v>
      </c>
      <c r="D25" s="40"/>
      <c r="E25" s="27">
        <f t="shared" si="2"/>
        <v>0</v>
      </c>
      <c r="F25" s="27">
        <f t="shared" si="3"/>
        <v>0</v>
      </c>
      <c r="G25" s="27" t="str">
        <f t="shared" si="8"/>
        <v/>
      </c>
      <c r="H25" s="42"/>
      <c r="I25" s="42"/>
      <c r="J25" s="40"/>
      <c r="K25" s="27">
        <f t="shared" si="5"/>
        <v>0</v>
      </c>
      <c r="L25" s="43">
        <f t="shared" si="6"/>
        <v>0</v>
      </c>
      <c r="M25" s="44" t="str">
        <f t="shared" si="7"/>
        <v/>
      </c>
      <c r="N25" s="47"/>
    </row>
    <row r="26" ht="15.75" customHeight="1">
      <c r="A26" s="40" t="str">
        <f>'ETAPA 2. IDENTIFICAÇÃO DE EVENT'!C26</f>
        <v/>
      </c>
      <c r="B26" s="40"/>
      <c r="C26" s="27">
        <f t="shared" si="1"/>
        <v>0</v>
      </c>
      <c r="D26" s="40"/>
      <c r="E26" s="27">
        <f t="shared" si="2"/>
        <v>0</v>
      </c>
      <c r="F26" s="27">
        <f t="shared" si="3"/>
        <v>0</v>
      </c>
      <c r="G26" s="27" t="str">
        <f t="shared" si="8"/>
        <v/>
      </c>
      <c r="H26" s="42"/>
      <c r="I26" s="42"/>
      <c r="J26" s="40"/>
      <c r="K26" s="27">
        <f t="shared" si="5"/>
        <v>0</v>
      </c>
      <c r="L26" s="43">
        <f t="shared" si="6"/>
        <v>0</v>
      </c>
      <c r="M26" s="44" t="str">
        <f t="shared" si="7"/>
        <v/>
      </c>
      <c r="N26" s="47"/>
    </row>
    <row r="27" ht="15.75" customHeight="1">
      <c r="A27" s="40" t="str">
        <f>'ETAPA 2. IDENTIFICAÇÃO DE EVENT'!C27</f>
        <v/>
      </c>
      <c r="B27" s="40"/>
      <c r="C27" s="27">
        <f t="shared" si="1"/>
        <v>0</v>
      </c>
      <c r="D27" s="40"/>
      <c r="E27" s="27">
        <f t="shared" si="2"/>
        <v>0</v>
      </c>
      <c r="F27" s="27">
        <f t="shared" si="3"/>
        <v>0</v>
      </c>
      <c r="G27" s="27" t="str">
        <f t="shared" si="8"/>
        <v/>
      </c>
      <c r="H27" s="42"/>
      <c r="I27" s="42"/>
      <c r="J27" s="40"/>
      <c r="K27" s="27">
        <f t="shared" si="5"/>
        <v>0</v>
      </c>
      <c r="L27" s="43">
        <f t="shared" si="6"/>
        <v>0</v>
      </c>
      <c r="M27" s="44" t="str">
        <f t="shared" si="7"/>
        <v/>
      </c>
      <c r="N27" s="47"/>
    </row>
    <row r="28" ht="15.75" customHeight="1">
      <c r="A28" s="40" t="str">
        <f>'ETAPA 2. IDENTIFICAÇÃO DE EVENT'!C28</f>
        <v/>
      </c>
      <c r="B28" s="40"/>
      <c r="C28" s="27">
        <f t="shared" si="1"/>
        <v>0</v>
      </c>
      <c r="D28" s="40"/>
      <c r="E28" s="27">
        <f t="shared" si="2"/>
        <v>0</v>
      </c>
      <c r="F28" s="27">
        <f t="shared" si="3"/>
        <v>0</v>
      </c>
      <c r="G28" s="27" t="str">
        <f t="shared" si="8"/>
        <v/>
      </c>
      <c r="H28" s="42"/>
      <c r="I28" s="42"/>
      <c r="J28" s="40"/>
      <c r="K28" s="27">
        <f t="shared" si="5"/>
        <v>0</v>
      </c>
      <c r="L28" s="43">
        <f t="shared" si="6"/>
        <v>0</v>
      </c>
      <c r="M28" s="44" t="str">
        <f t="shared" si="7"/>
        <v/>
      </c>
      <c r="N28" s="47"/>
    </row>
    <row r="29" ht="15.75" customHeight="1">
      <c r="A29" s="40" t="str">
        <f>'ETAPA 2. IDENTIFICAÇÃO DE EVENT'!C29</f>
        <v/>
      </c>
      <c r="B29" s="40"/>
      <c r="C29" s="27">
        <f t="shared" si="1"/>
        <v>0</v>
      </c>
      <c r="D29" s="40"/>
      <c r="E29" s="27">
        <f t="shared" si="2"/>
        <v>0</v>
      </c>
      <c r="F29" s="27">
        <f t="shared" si="3"/>
        <v>0</v>
      </c>
      <c r="G29" s="27" t="str">
        <f t="shared" si="8"/>
        <v/>
      </c>
      <c r="H29" s="42"/>
      <c r="I29" s="42"/>
      <c r="J29" s="40"/>
      <c r="K29" s="27">
        <f t="shared" si="5"/>
        <v>0</v>
      </c>
      <c r="L29" s="43">
        <f t="shared" si="6"/>
        <v>0</v>
      </c>
      <c r="M29" s="44" t="str">
        <f t="shared" si="7"/>
        <v/>
      </c>
      <c r="N29" s="47"/>
    </row>
    <row r="30" ht="15.75" customHeight="1">
      <c r="A30" s="40" t="str">
        <f>'ETAPA 2. IDENTIFICAÇÃO DE EVENT'!C30</f>
        <v/>
      </c>
      <c r="B30" s="40"/>
      <c r="C30" s="27">
        <f t="shared" si="1"/>
        <v>0</v>
      </c>
      <c r="D30" s="40"/>
      <c r="E30" s="27">
        <f t="shared" si="2"/>
        <v>0</v>
      </c>
      <c r="F30" s="27">
        <f t="shared" si="3"/>
        <v>0</v>
      </c>
      <c r="G30" s="27" t="str">
        <f t="shared" si="8"/>
        <v/>
      </c>
      <c r="H30" s="42"/>
      <c r="I30" s="42"/>
      <c r="J30" s="40"/>
      <c r="K30" s="27">
        <f t="shared" si="5"/>
        <v>0</v>
      </c>
      <c r="L30" s="43">
        <f t="shared" si="6"/>
        <v>0</v>
      </c>
      <c r="M30" s="44" t="str">
        <f t="shared" si="7"/>
        <v/>
      </c>
      <c r="N30" s="47"/>
    </row>
    <row r="31" ht="15.75" customHeight="1">
      <c r="A31" s="40" t="str">
        <f>'ETAPA 2. IDENTIFICAÇÃO DE EVENT'!C31</f>
        <v/>
      </c>
      <c r="B31" s="40"/>
      <c r="C31" s="27">
        <f t="shared" si="1"/>
        <v>0</v>
      </c>
      <c r="D31" s="40"/>
      <c r="E31" s="27">
        <f t="shared" si="2"/>
        <v>0</v>
      </c>
      <c r="F31" s="27">
        <f t="shared" si="3"/>
        <v>0</v>
      </c>
      <c r="G31" s="27" t="str">
        <f t="shared" si="8"/>
        <v/>
      </c>
      <c r="H31" s="42"/>
      <c r="I31" s="42"/>
      <c r="J31" s="40"/>
      <c r="K31" s="27">
        <f t="shared" si="5"/>
        <v>0</v>
      </c>
      <c r="L31" s="43">
        <f t="shared" si="6"/>
        <v>0</v>
      </c>
      <c r="M31" s="44" t="str">
        <f t="shared" si="7"/>
        <v/>
      </c>
      <c r="N31" s="47"/>
    </row>
    <row r="32" ht="15.75" customHeight="1">
      <c r="A32" s="48"/>
      <c r="B32" s="48"/>
      <c r="C32" s="48"/>
      <c r="D32" s="48"/>
      <c r="E32" s="48"/>
      <c r="F32" s="48"/>
      <c r="G32" s="48"/>
    </row>
    <row r="33" ht="15.75" customHeight="1">
      <c r="A33" s="48"/>
      <c r="B33" s="48"/>
      <c r="C33" s="48"/>
      <c r="D33" s="48"/>
      <c r="E33" s="48"/>
      <c r="F33" s="48"/>
      <c r="G33" s="48"/>
    </row>
    <row r="34" ht="15.75" customHeight="1">
      <c r="A34" s="48"/>
      <c r="B34" s="48"/>
      <c r="C34" s="48"/>
      <c r="D34" s="48"/>
      <c r="E34" s="48"/>
      <c r="F34" s="48"/>
      <c r="G34" s="48"/>
    </row>
    <row r="35" ht="15.75" customHeight="1">
      <c r="A35" s="48"/>
      <c r="B35" s="48"/>
      <c r="C35" s="48"/>
      <c r="D35" s="48"/>
      <c r="E35" s="48"/>
      <c r="F35" s="48"/>
      <c r="G35" s="48"/>
    </row>
    <row r="36" ht="15.75" customHeight="1">
      <c r="A36" s="48"/>
      <c r="B36" s="48"/>
      <c r="C36" s="48"/>
      <c r="D36" s="48"/>
      <c r="E36" s="48"/>
      <c r="F36" s="48"/>
      <c r="G36" s="48"/>
    </row>
    <row r="37" ht="15.75" customHeight="1">
      <c r="A37" s="48"/>
      <c r="B37" s="48"/>
      <c r="C37" s="48"/>
      <c r="D37" s="48"/>
      <c r="E37" s="48"/>
      <c r="F37" s="48"/>
      <c r="G37" s="48"/>
    </row>
    <row r="38" ht="15.75" customHeight="1">
      <c r="A38" s="48"/>
      <c r="B38" s="48"/>
      <c r="C38" s="48"/>
      <c r="D38" s="48"/>
      <c r="E38" s="48"/>
      <c r="F38" s="48"/>
      <c r="G38" s="48"/>
    </row>
    <row r="39" ht="15.75" customHeight="1">
      <c r="A39" s="48"/>
      <c r="B39" s="48"/>
      <c r="C39" s="48"/>
      <c r="D39" s="48"/>
      <c r="E39" s="48"/>
      <c r="F39" s="48"/>
      <c r="G39" s="48"/>
    </row>
    <row r="40" ht="15.75" customHeight="1">
      <c r="A40" s="48"/>
      <c r="B40" s="48"/>
      <c r="C40" s="48"/>
      <c r="D40" s="48"/>
      <c r="E40" s="48"/>
      <c r="F40" s="48"/>
      <c r="G40" s="48"/>
    </row>
    <row r="41" ht="15.75" customHeight="1">
      <c r="A41" s="48"/>
      <c r="B41" s="48"/>
      <c r="C41" s="48"/>
      <c r="D41" s="48"/>
      <c r="E41" s="48"/>
      <c r="F41" s="48"/>
      <c r="G41" s="48"/>
    </row>
    <row r="42" ht="15.75" customHeight="1">
      <c r="A42" s="48"/>
      <c r="B42" s="48"/>
      <c r="C42" s="48"/>
      <c r="D42" s="48"/>
      <c r="E42" s="48"/>
      <c r="F42" s="48"/>
      <c r="G42" s="48"/>
    </row>
    <row r="43" ht="15.75" customHeight="1">
      <c r="A43" s="48"/>
      <c r="B43" s="48"/>
      <c r="C43" s="48"/>
      <c r="D43" s="48"/>
      <c r="E43" s="48"/>
      <c r="F43" s="48"/>
      <c r="G43" s="48"/>
    </row>
    <row r="44" ht="15.75" customHeight="1">
      <c r="A44" s="48"/>
      <c r="B44" s="48"/>
      <c r="C44" s="48"/>
      <c r="D44" s="48"/>
      <c r="E44" s="48"/>
      <c r="F44" s="48"/>
      <c r="G44" s="48"/>
    </row>
    <row r="45" ht="15.75" customHeight="1">
      <c r="A45" s="48"/>
      <c r="B45" s="48"/>
      <c r="C45" s="48"/>
      <c r="D45" s="48"/>
      <c r="E45" s="48"/>
      <c r="F45" s="48"/>
      <c r="G45" s="48"/>
    </row>
    <row r="46" ht="15.75" customHeight="1">
      <c r="A46" s="48"/>
      <c r="B46" s="48"/>
      <c r="C46" s="48"/>
      <c r="D46" s="48"/>
      <c r="E46" s="48"/>
      <c r="F46" s="48"/>
      <c r="G46" s="48"/>
    </row>
    <row r="47" ht="15.75" customHeight="1">
      <c r="A47" s="48"/>
      <c r="B47" s="48"/>
      <c r="C47" s="48"/>
      <c r="D47" s="48"/>
      <c r="E47" s="48"/>
      <c r="F47" s="48"/>
      <c r="G47" s="48"/>
    </row>
    <row r="48" ht="15.75" customHeight="1">
      <c r="A48" s="48"/>
      <c r="B48" s="48"/>
      <c r="C48" s="48"/>
      <c r="D48" s="48"/>
      <c r="E48" s="48"/>
      <c r="F48" s="48"/>
      <c r="G48" s="48"/>
    </row>
    <row r="49" ht="15.75" customHeight="1">
      <c r="A49" s="48"/>
      <c r="B49" s="48"/>
      <c r="C49" s="48"/>
      <c r="D49" s="48"/>
      <c r="E49" s="48"/>
      <c r="F49" s="48"/>
      <c r="G49" s="48"/>
    </row>
    <row r="50" ht="15.75" customHeight="1">
      <c r="A50" s="48"/>
      <c r="B50" s="48"/>
      <c r="C50" s="48"/>
      <c r="D50" s="48"/>
      <c r="E50" s="48"/>
      <c r="F50" s="48"/>
      <c r="G50" s="48"/>
    </row>
    <row r="51" ht="15.75" customHeight="1">
      <c r="A51" s="48"/>
      <c r="B51" s="48"/>
      <c r="C51" s="48"/>
      <c r="D51" s="48"/>
      <c r="E51" s="48"/>
      <c r="F51" s="48"/>
      <c r="G51" s="48"/>
    </row>
    <row r="52" ht="15.75" customHeight="1">
      <c r="A52" s="48"/>
      <c r="B52" s="48"/>
      <c r="C52" s="48"/>
      <c r="D52" s="48"/>
      <c r="E52" s="48"/>
      <c r="F52" s="48"/>
      <c r="G52" s="48"/>
    </row>
    <row r="53" ht="15.75" customHeight="1">
      <c r="A53" s="48"/>
      <c r="B53" s="48"/>
      <c r="C53" s="48"/>
      <c r="D53" s="48"/>
      <c r="E53" s="48"/>
      <c r="F53" s="48"/>
      <c r="G53" s="48"/>
    </row>
    <row r="54" ht="15.75" customHeight="1">
      <c r="A54" s="48"/>
      <c r="B54" s="48"/>
      <c r="C54" s="48"/>
      <c r="D54" s="48"/>
      <c r="E54" s="48"/>
      <c r="F54" s="48"/>
      <c r="G54" s="48"/>
    </row>
    <row r="55" ht="15.75" customHeight="1">
      <c r="A55" s="48"/>
      <c r="B55" s="48"/>
      <c r="C55" s="48"/>
      <c r="D55" s="48"/>
      <c r="E55" s="48"/>
      <c r="F55" s="48"/>
      <c r="G55" s="48"/>
    </row>
    <row r="56" ht="15.75" customHeight="1">
      <c r="A56" s="48"/>
      <c r="B56" s="48"/>
      <c r="C56" s="48"/>
      <c r="D56" s="48"/>
      <c r="E56" s="48"/>
      <c r="F56" s="48"/>
      <c r="G56" s="48"/>
    </row>
    <row r="57" ht="15.75" customHeight="1">
      <c r="A57" s="48"/>
      <c r="B57" s="48"/>
      <c r="C57" s="48"/>
      <c r="D57" s="48"/>
      <c r="E57" s="48"/>
      <c r="F57" s="48"/>
      <c r="G57" s="48"/>
    </row>
    <row r="58" ht="15.75" customHeight="1">
      <c r="A58" s="48"/>
      <c r="B58" s="48"/>
      <c r="C58" s="48"/>
      <c r="D58" s="48"/>
      <c r="E58" s="48"/>
      <c r="F58" s="48"/>
      <c r="G58" s="48"/>
    </row>
    <row r="59" ht="15.75" customHeight="1">
      <c r="A59" s="48"/>
      <c r="B59" s="48"/>
      <c r="C59" s="48"/>
      <c r="D59" s="48"/>
      <c r="E59" s="48"/>
      <c r="F59" s="48"/>
      <c r="G59" s="48"/>
    </row>
    <row r="60" ht="15.75" customHeight="1">
      <c r="A60" s="48"/>
      <c r="B60" s="48"/>
      <c r="C60" s="48"/>
      <c r="D60" s="48"/>
      <c r="E60" s="48"/>
      <c r="F60" s="48"/>
      <c r="G60" s="48"/>
    </row>
    <row r="61" ht="15.75" customHeight="1">
      <c r="A61" s="48"/>
      <c r="B61" s="48"/>
      <c r="C61" s="48"/>
      <c r="D61" s="48"/>
      <c r="E61" s="48"/>
      <c r="F61" s="48"/>
      <c r="G61" s="48"/>
    </row>
    <row r="62" ht="15.75" customHeight="1">
      <c r="A62" s="48"/>
      <c r="B62" s="48"/>
      <c r="C62" s="48"/>
      <c r="D62" s="48"/>
      <c r="E62" s="48"/>
      <c r="F62" s="48"/>
      <c r="G62" s="48"/>
    </row>
    <row r="63" ht="15.75" customHeight="1">
      <c r="A63" s="48"/>
      <c r="B63" s="48"/>
      <c r="C63" s="48"/>
      <c r="D63" s="48"/>
      <c r="E63" s="48"/>
      <c r="F63" s="48"/>
      <c r="G63" s="48"/>
    </row>
    <row r="64" ht="15.75" customHeight="1">
      <c r="A64" s="48"/>
      <c r="B64" s="48"/>
      <c r="C64" s="48"/>
      <c r="D64" s="48"/>
      <c r="E64" s="48"/>
      <c r="F64" s="48"/>
      <c r="G64" s="48"/>
    </row>
    <row r="65" ht="15.75" customHeight="1">
      <c r="A65" s="48"/>
      <c r="B65" s="48"/>
      <c r="C65" s="48"/>
      <c r="D65" s="48"/>
      <c r="E65" s="48"/>
      <c r="F65" s="48"/>
      <c r="G65" s="48"/>
    </row>
    <row r="66" ht="15.75" customHeight="1">
      <c r="A66" s="48"/>
      <c r="B66" s="48"/>
      <c r="C66" s="48"/>
      <c r="D66" s="48"/>
      <c r="E66" s="48"/>
      <c r="F66" s="48"/>
      <c r="G66" s="48"/>
    </row>
    <row r="67" ht="15.75" customHeight="1">
      <c r="A67" s="48"/>
      <c r="B67" s="48"/>
      <c r="C67" s="48"/>
      <c r="D67" s="48"/>
      <c r="E67" s="48"/>
      <c r="F67" s="48"/>
      <c r="G67" s="48"/>
    </row>
    <row r="68" ht="15.75" customHeight="1">
      <c r="A68" s="48"/>
      <c r="B68" s="48"/>
      <c r="C68" s="48"/>
      <c r="D68" s="48"/>
      <c r="E68" s="48"/>
      <c r="F68" s="48"/>
      <c r="G68" s="48"/>
    </row>
    <row r="69" ht="15.75" customHeight="1">
      <c r="A69" s="48"/>
      <c r="B69" s="48"/>
      <c r="C69" s="48"/>
      <c r="D69" s="48"/>
      <c r="E69" s="48"/>
      <c r="F69" s="48"/>
      <c r="G69" s="48"/>
    </row>
    <row r="70" ht="15.75" customHeight="1">
      <c r="A70" s="48"/>
      <c r="B70" s="48"/>
      <c r="C70" s="48"/>
      <c r="D70" s="48"/>
      <c r="E70" s="48"/>
      <c r="F70" s="48"/>
      <c r="G70" s="48"/>
    </row>
    <row r="71" ht="15.75" customHeight="1">
      <c r="A71" s="48"/>
      <c r="B71" s="48"/>
      <c r="C71" s="48"/>
      <c r="D71" s="48"/>
      <c r="E71" s="48"/>
      <c r="F71" s="48"/>
      <c r="G71" s="48"/>
    </row>
    <row r="72" ht="15.75" customHeight="1">
      <c r="A72" s="48"/>
      <c r="B72" s="48"/>
      <c r="C72" s="48"/>
      <c r="D72" s="48"/>
      <c r="E72" s="48"/>
      <c r="F72" s="48"/>
      <c r="G72" s="48"/>
    </row>
    <row r="73" ht="15.75" customHeight="1">
      <c r="A73" s="48"/>
      <c r="B73" s="48"/>
      <c r="C73" s="48"/>
      <c r="D73" s="48"/>
      <c r="E73" s="48"/>
      <c r="F73" s="48"/>
      <c r="G73" s="48"/>
    </row>
    <row r="74" ht="15.75" customHeight="1">
      <c r="A74" s="48"/>
      <c r="B74" s="48"/>
      <c r="C74" s="48"/>
      <c r="D74" s="48"/>
      <c r="E74" s="48"/>
      <c r="F74" s="48"/>
      <c r="G74" s="48"/>
    </row>
    <row r="75" ht="15.75" customHeight="1">
      <c r="A75" s="48"/>
      <c r="B75" s="48"/>
      <c r="C75" s="48"/>
      <c r="D75" s="48"/>
      <c r="E75" s="48"/>
      <c r="F75" s="48"/>
      <c r="G75" s="48"/>
    </row>
    <row r="76" ht="15.75" customHeight="1">
      <c r="A76" s="48"/>
      <c r="B76" s="48"/>
      <c r="C76" s="48"/>
      <c r="D76" s="48"/>
      <c r="E76" s="48"/>
      <c r="F76" s="48"/>
      <c r="G76" s="48"/>
    </row>
    <row r="77" ht="15.75" customHeight="1">
      <c r="A77" s="48"/>
      <c r="B77" s="48"/>
      <c r="C77" s="48"/>
      <c r="D77" s="48"/>
      <c r="E77" s="48"/>
      <c r="F77" s="48"/>
      <c r="G77" s="48"/>
    </row>
    <row r="78" ht="15.75" customHeight="1">
      <c r="A78" s="48"/>
      <c r="B78" s="48"/>
      <c r="C78" s="48"/>
      <c r="D78" s="48"/>
      <c r="E78" s="48"/>
      <c r="F78" s="48"/>
      <c r="G78" s="48"/>
    </row>
    <row r="79" ht="15.75" customHeight="1">
      <c r="A79" s="48"/>
      <c r="B79" s="48"/>
      <c r="C79" s="48"/>
      <c r="D79" s="48"/>
      <c r="E79" s="48"/>
      <c r="F79" s="48"/>
      <c r="G79" s="48"/>
    </row>
    <row r="80" ht="15.75" customHeight="1">
      <c r="A80" s="48"/>
      <c r="B80" s="48"/>
      <c r="C80" s="48"/>
      <c r="D80" s="48"/>
      <c r="E80" s="48"/>
      <c r="F80" s="48"/>
      <c r="G80" s="48"/>
    </row>
    <row r="81" ht="15.75" customHeight="1">
      <c r="A81" s="48"/>
      <c r="B81" s="48"/>
      <c r="C81" s="48"/>
      <c r="D81" s="48"/>
      <c r="E81" s="48"/>
      <c r="F81" s="48"/>
      <c r="G81" s="48"/>
    </row>
    <row r="82" ht="15.75" customHeight="1">
      <c r="A82" s="48"/>
      <c r="B82" s="48"/>
      <c r="C82" s="48"/>
      <c r="D82" s="48"/>
      <c r="E82" s="48"/>
      <c r="F82" s="48"/>
      <c r="G82" s="48"/>
    </row>
    <row r="83" ht="15.75" customHeight="1">
      <c r="A83" s="48"/>
      <c r="B83" s="48"/>
      <c r="C83" s="48"/>
      <c r="D83" s="48"/>
      <c r="E83" s="48"/>
      <c r="F83" s="48"/>
      <c r="G83" s="48"/>
    </row>
    <row r="84" ht="15.75" customHeight="1">
      <c r="A84" s="48"/>
      <c r="B84" s="48"/>
      <c r="C84" s="48"/>
      <c r="D84" s="48"/>
      <c r="E84" s="48"/>
      <c r="F84" s="48"/>
      <c r="G84" s="48"/>
    </row>
    <row r="85" ht="15.75" customHeight="1">
      <c r="A85" s="48"/>
      <c r="B85" s="48"/>
      <c r="C85" s="48"/>
      <c r="D85" s="48"/>
      <c r="E85" s="48"/>
      <c r="F85" s="48"/>
      <c r="G85" s="48"/>
    </row>
    <row r="86" ht="15.75" customHeight="1">
      <c r="A86" s="48"/>
      <c r="B86" s="48"/>
      <c r="C86" s="48"/>
      <c r="D86" s="48"/>
      <c r="E86" s="48"/>
      <c r="F86" s="48"/>
      <c r="G86" s="48"/>
    </row>
    <row r="87" ht="15.75" customHeight="1">
      <c r="A87" s="48"/>
      <c r="B87" s="48"/>
      <c r="C87" s="48"/>
      <c r="D87" s="48"/>
      <c r="E87" s="48"/>
      <c r="F87" s="48"/>
      <c r="G87" s="48"/>
    </row>
    <row r="88" ht="15.75" customHeight="1">
      <c r="A88" s="48"/>
      <c r="B88" s="48"/>
      <c r="C88" s="48"/>
      <c r="D88" s="48"/>
      <c r="E88" s="48"/>
      <c r="F88" s="48"/>
      <c r="G88" s="48"/>
    </row>
    <row r="89" ht="15.75" customHeight="1">
      <c r="A89" s="48"/>
      <c r="B89" s="48"/>
      <c r="C89" s="48"/>
      <c r="D89" s="48"/>
      <c r="E89" s="48"/>
      <c r="F89" s="48"/>
      <c r="G89" s="48"/>
    </row>
    <row r="90" ht="15.75" customHeight="1">
      <c r="A90" s="48"/>
      <c r="B90" s="48"/>
      <c r="C90" s="48"/>
      <c r="D90" s="48"/>
      <c r="E90" s="48"/>
      <c r="F90" s="48"/>
      <c r="G90" s="48"/>
    </row>
    <row r="91" ht="15.75" customHeight="1">
      <c r="A91" s="48"/>
      <c r="B91" s="48"/>
      <c r="C91" s="48"/>
      <c r="D91" s="48"/>
      <c r="E91" s="48"/>
      <c r="F91" s="48"/>
      <c r="G91" s="48"/>
    </row>
    <row r="92" ht="15.75" customHeight="1">
      <c r="A92" s="48"/>
      <c r="B92" s="48"/>
      <c r="C92" s="48"/>
      <c r="D92" s="48"/>
      <c r="E92" s="48"/>
      <c r="F92" s="48"/>
      <c r="G92" s="48"/>
    </row>
    <row r="93" ht="15.75" customHeight="1">
      <c r="A93" s="48"/>
      <c r="B93" s="48"/>
      <c r="C93" s="48"/>
      <c r="D93" s="48"/>
      <c r="E93" s="48"/>
      <c r="F93" s="48"/>
      <c r="G93" s="48"/>
    </row>
    <row r="94" ht="15.75" customHeight="1">
      <c r="A94" s="48"/>
      <c r="B94" s="48"/>
      <c r="C94" s="48"/>
      <c r="D94" s="48"/>
      <c r="E94" s="48"/>
      <c r="F94" s="48"/>
      <c r="G94" s="48"/>
    </row>
    <row r="95" ht="15.75" customHeight="1">
      <c r="A95" s="48"/>
      <c r="B95" s="48"/>
      <c r="C95" s="48"/>
      <c r="D95" s="48"/>
      <c r="E95" s="48"/>
      <c r="F95" s="48"/>
      <c r="G95" s="48"/>
    </row>
    <row r="96" ht="15.75" customHeight="1">
      <c r="A96" s="48"/>
      <c r="B96" s="48"/>
      <c r="C96" s="48"/>
      <c r="D96" s="48"/>
      <c r="E96" s="48"/>
      <c r="F96" s="48"/>
      <c r="G96" s="48"/>
    </row>
    <row r="97" ht="15.75" customHeight="1">
      <c r="A97" s="48"/>
      <c r="B97" s="48"/>
      <c r="C97" s="48"/>
      <c r="D97" s="48"/>
      <c r="E97" s="48"/>
      <c r="F97" s="48"/>
      <c r="G97" s="48"/>
    </row>
    <row r="98" ht="15.75" customHeight="1">
      <c r="A98" s="48"/>
      <c r="B98" s="48"/>
      <c r="C98" s="48"/>
      <c r="D98" s="48"/>
      <c r="E98" s="48"/>
      <c r="F98" s="48"/>
      <c r="G98" s="48"/>
    </row>
    <row r="99" ht="15.75" customHeight="1">
      <c r="A99" s="48"/>
      <c r="B99" s="48"/>
      <c r="C99" s="48"/>
      <c r="D99" s="48"/>
      <c r="E99" s="48"/>
      <c r="F99" s="48"/>
      <c r="G99" s="48"/>
    </row>
    <row r="100" ht="15.75" customHeight="1">
      <c r="A100" s="48"/>
      <c r="B100" s="48"/>
      <c r="C100" s="48"/>
      <c r="D100" s="48"/>
      <c r="E100" s="48"/>
      <c r="F100" s="48"/>
      <c r="G100" s="48"/>
    </row>
    <row r="101" ht="15.75" customHeight="1">
      <c r="A101" s="48"/>
      <c r="B101" s="48"/>
      <c r="C101" s="48"/>
      <c r="D101" s="48"/>
      <c r="E101" s="48"/>
      <c r="F101" s="48"/>
      <c r="G101" s="48"/>
    </row>
    <row r="102" ht="15.75" customHeight="1">
      <c r="A102" s="48"/>
      <c r="B102" s="48"/>
      <c r="C102" s="48"/>
      <c r="D102" s="48"/>
      <c r="E102" s="48"/>
      <c r="F102" s="48"/>
      <c r="G102" s="48"/>
    </row>
    <row r="103" ht="15.75" customHeight="1">
      <c r="A103" s="48"/>
      <c r="B103" s="48"/>
      <c r="C103" s="48"/>
      <c r="D103" s="48"/>
      <c r="E103" s="48"/>
      <c r="F103" s="48"/>
      <c r="G103" s="48"/>
    </row>
    <row r="104" ht="15.75" customHeight="1">
      <c r="A104" s="48"/>
      <c r="B104" s="48"/>
      <c r="C104" s="48"/>
      <c r="D104" s="48"/>
      <c r="E104" s="48"/>
      <c r="F104" s="48"/>
      <c r="G104" s="48"/>
    </row>
    <row r="105" ht="15.75" customHeight="1">
      <c r="A105" s="48"/>
      <c r="B105" s="48"/>
      <c r="C105" s="48"/>
      <c r="D105" s="48"/>
      <c r="E105" s="48"/>
      <c r="F105" s="48"/>
      <c r="G105" s="48"/>
    </row>
    <row r="106" ht="15.75" customHeight="1">
      <c r="A106" s="48"/>
      <c r="B106" s="48"/>
      <c r="C106" s="48"/>
      <c r="D106" s="48"/>
      <c r="E106" s="48"/>
      <c r="F106" s="48"/>
      <c r="G106" s="48"/>
    </row>
    <row r="107" ht="15.75" customHeight="1">
      <c r="A107" s="48"/>
      <c r="B107" s="48"/>
      <c r="C107" s="48"/>
      <c r="D107" s="48"/>
      <c r="E107" s="48"/>
      <c r="F107" s="48"/>
      <c r="G107" s="48"/>
    </row>
    <row r="108" ht="15.75" customHeight="1">
      <c r="A108" s="48"/>
      <c r="B108" s="48"/>
      <c r="C108" s="48"/>
      <c r="D108" s="48"/>
      <c r="E108" s="48"/>
      <c r="F108" s="48"/>
      <c r="G108" s="48"/>
    </row>
    <row r="109" ht="15.75" customHeight="1">
      <c r="A109" s="48"/>
      <c r="B109" s="48"/>
      <c r="C109" s="48"/>
      <c r="D109" s="48"/>
      <c r="E109" s="48"/>
      <c r="F109" s="48"/>
      <c r="G109" s="48"/>
    </row>
    <row r="110" ht="15.75" customHeight="1">
      <c r="A110" s="48"/>
      <c r="B110" s="48"/>
      <c r="C110" s="48"/>
      <c r="D110" s="48"/>
      <c r="E110" s="48"/>
      <c r="F110" s="48"/>
      <c r="G110" s="48"/>
    </row>
    <row r="111" ht="15.75" customHeight="1">
      <c r="A111" s="48"/>
      <c r="B111" s="48"/>
      <c r="C111" s="48"/>
      <c r="D111" s="48"/>
      <c r="E111" s="48"/>
      <c r="F111" s="48"/>
      <c r="G111" s="48"/>
    </row>
    <row r="112" ht="15.75" customHeight="1">
      <c r="A112" s="48"/>
      <c r="B112" s="48"/>
      <c r="C112" s="48"/>
      <c r="D112" s="48"/>
      <c r="E112" s="48"/>
      <c r="F112" s="48"/>
      <c r="G112" s="48"/>
    </row>
    <row r="113" ht="15.75" customHeight="1">
      <c r="A113" s="48"/>
      <c r="B113" s="48"/>
      <c r="C113" s="48"/>
      <c r="D113" s="48"/>
      <c r="E113" s="48"/>
      <c r="F113" s="48"/>
      <c r="G113" s="48"/>
    </row>
    <row r="114" ht="15.75" customHeight="1">
      <c r="A114" s="48"/>
      <c r="B114" s="48"/>
      <c r="C114" s="48"/>
      <c r="D114" s="48"/>
      <c r="E114" s="48"/>
      <c r="F114" s="48"/>
      <c r="G114" s="48"/>
    </row>
    <row r="115" ht="15.75" customHeight="1">
      <c r="A115" s="48"/>
      <c r="B115" s="48"/>
      <c r="C115" s="48"/>
      <c r="D115" s="48"/>
      <c r="E115" s="48"/>
      <c r="F115" s="48"/>
      <c r="G115" s="48"/>
    </row>
    <row r="116" ht="15.75" customHeight="1">
      <c r="A116" s="48"/>
      <c r="B116" s="48"/>
      <c r="C116" s="48"/>
      <c r="D116" s="48"/>
      <c r="E116" s="48"/>
      <c r="F116" s="48"/>
      <c r="G116" s="48"/>
    </row>
    <row r="117" ht="15.75" customHeight="1">
      <c r="A117" s="48"/>
      <c r="B117" s="48"/>
      <c r="C117" s="48"/>
      <c r="D117" s="48"/>
      <c r="E117" s="48"/>
      <c r="F117" s="48"/>
      <c r="G117" s="48"/>
    </row>
    <row r="118" ht="15.75" customHeight="1">
      <c r="A118" s="48"/>
      <c r="B118" s="48"/>
      <c r="C118" s="48"/>
      <c r="D118" s="48"/>
      <c r="E118" s="48"/>
      <c r="F118" s="48"/>
      <c r="G118" s="48"/>
    </row>
    <row r="119" ht="15.75" customHeight="1">
      <c r="A119" s="48"/>
      <c r="B119" s="48"/>
      <c r="C119" s="48"/>
      <c r="D119" s="48"/>
      <c r="E119" s="48"/>
      <c r="F119" s="48"/>
      <c r="G119" s="48"/>
    </row>
    <row r="120" ht="15.75" customHeight="1">
      <c r="A120" s="48"/>
      <c r="B120" s="48"/>
      <c r="C120" s="48"/>
      <c r="D120" s="48"/>
      <c r="E120" s="48"/>
      <c r="F120" s="48"/>
      <c r="G120" s="48"/>
    </row>
    <row r="121" ht="15.75" customHeight="1">
      <c r="A121" s="48"/>
      <c r="B121" s="48"/>
      <c r="C121" s="48"/>
      <c r="D121" s="48"/>
      <c r="E121" s="48"/>
      <c r="F121" s="48"/>
      <c r="G121" s="48"/>
    </row>
    <row r="122" ht="15.75" customHeight="1">
      <c r="A122" s="48"/>
      <c r="B122" s="48"/>
      <c r="C122" s="48"/>
      <c r="D122" s="48"/>
      <c r="E122" s="48"/>
      <c r="F122" s="48"/>
      <c r="G122" s="48"/>
    </row>
    <row r="123" ht="15.75" customHeight="1">
      <c r="A123" s="48"/>
      <c r="B123" s="48"/>
      <c r="C123" s="48"/>
      <c r="D123" s="48"/>
      <c r="E123" s="48"/>
      <c r="F123" s="48"/>
      <c r="G123" s="48"/>
    </row>
    <row r="124" ht="15.75" customHeight="1">
      <c r="A124" s="48"/>
      <c r="B124" s="48"/>
      <c r="C124" s="48"/>
      <c r="D124" s="48"/>
      <c r="E124" s="48"/>
      <c r="F124" s="48"/>
      <c r="G124" s="48"/>
    </row>
    <row r="125" ht="15.75" customHeight="1">
      <c r="A125" s="48"/>
      <c r="B125" s="48"/>
      <c r="C125" s="48"/>
      <c r="D125" s="48"/>
      <c r="E125" s="48"/>
      <c r="F125" s="48"/>
      <c r="G125" s="48"/>
    </row>
    <row r="126" ht="15.75" customHeight="1">
      <c r="A126" s="48"/>
      <c r="B126" s="48"/>
      <c r="C126" s="48"/>
      <c r="D126" s="48"/>
      <c r="E126" s="48"/>
      <c r="F126" s="48"/>
      <c r="G126" s="48"/>
    </row>
    <row r="127" ht="15.75" customHeight="1">
      <c r="A127" s="48"/>
      <c r="B127" s="48"/>
      <c r="C127" s="48"/>
      <c r="D127" s="48"/>
      <c r="E127" s="48"/>
      <c r="F127" s="48"/>
      <c r="G127" s="48"/>
    </row>
    <row r="128" ht="15.75" customHeight="1">
      <c r="A128" s="48"/>
      <c r="B128" s="48"/>
      <c r="C128" s="48"/>
      <c r="D128" s="48"/>
      <c r="E128" s="48"/>
      <c r="F128" s="48"/>
      <c r="G128" s="48"/>
    </row>
    <row r="129" ht="15.75" customHeight="1">
      <c r="A129" s="48"/>
      <c r="B129" s="48"/>
      <c r="C129" s="48"/>
      <c r="D129" s="48"/>
      <c r="E129" s="48"/>
      <c r="F129" s="48"/>
      <c r="G129" s="48"/>
    </row>
    <row r="130" ht="15.75" customHeight="1">
      <c r="A130" s="48"/>
      <c r="B130" s="48"/>
      <c r="C130" s="48"/>
      <c r="D130" s="48"/>
      <c r="E130" s="48"/>
      <c r="F130" s="48"/>
      <c r="G130" s="48"/>
    </row>
    <row r="131" ht="15.75" customHeight="1">
      <c r="A131" s="48"/>
      <c r="B131" s="48"/>
      <c r="C131" s="48"/>
      <c r="D131" s="48"/>
      <c r="E131" s="48"/>
      <c r="F131" s="48"/>
      <c r="G131" s="48"/>
    </row>
    <row r="132" ht="15.75" customHeight="1">
      <c r="A132" s="48"/>
      <c r="B132" s="48"/>
      <c r="C132" s="48"/>
      <c r="D132" s="48"/>
      <c r="E132" s="48"/>
      <c r="F132" s="48"/>
      <c r="G132" s="48"/>
    </row>
    <row r="133" ht="15.75" customHeight="1">
      <c r="A133" s="48"/>
      <c r="B133" s="48"/>
      <c r="C133" s="48"/>
      <c r="D133" s="48"/>
      <c r="E133" s="48"/>
      <c r="F133" s="48"/>
      <c r="G133" s="48"/>
    </row>
    <row r="134" ht="15.75" customHeight="1">
      <c r="A134" s="48"/>
      <c r="B134" s="48"/>
      <c r="C134" s="48"/>
      <c r="D134" s="48"/>
      <c r="E134" s="48"/>
      <c r="F134" s="48"/>
      <c r="G134" s="48"/>
    </row>
    <row r="135" ht="15.75" customHeight="1">
      <c r="A135" s="48"/>
      <c r="B135" s="48"/>
      <c r="C135" s="48"/>
      <c r="D135" s="48"/>
      <c r="E135" s="48"/>
      <c r="F135" s="48"/>
      <c r="G135" s="48"/>
    </row>
    <row r="136" ht="15.75" customHeight="1">
      <c r="A136" s="48"/>
      <c r="B136" s="48"/>
      <c r="C136" s="48"/>
      <c r="D136" s="48"/>
      <c r="E136" s="48"/>
      <c r="F136" s="48"/>
      <c r="G136" s="48"/>
    </row>
    <row r="137" ht="15.75" customHeight="1">
      <c r="A137" s="48"/>
      <c r="B137" s="48"/>
      <c r="C137" s="48"/>
      <c r="D137" s="48"/>
      <c r="E137" s="48"/>
      <c r="F137" s="48"/>
      <c r="G137" s="48"/>
    </row>
    <row r="138" ht="15.75" customHeight="1">
      <c r="A138" s="48"/>
      <c r="B138" s="48"/>
      <c r="C138" s="48"/>
      <c r="D138" s="48"/>
      <c r="E138" s="48"/>
      <c r="F138" s="48"/>
      <c r="G138" s="48"/>
    </row>
    <row r="139" ht="15.75" customHeight="1">
      <c r="A139" s="48"/>
      <c r="B139" s="48"/>
      <c r="C139" s="48"/>
      <c r="D139" s="48"/>
      <c r="E139" s="48"/>
      <c r="F139" s="48"/>
      <c r="G139" s="48"/>
    </row>
    <row r="140" ht="15.75" customHeight="1">
      <c r="A140" s="48"/>
      <c r="B140" s="48"/>
      <c r="C140" s="48"/>
      <c r="D140" s="48"/>
      <c r="E140" s="48"/>
      <c r="F140" s="48"/>
      <c r="G140" s="48"/>
    </row>
    <row r="141" ht="15.75" customHeight="1">
      <c r="A141" s="48"/>
      <c r="B141" s="48"/>
      <c r="C141" s="48"/>
      <c r="D141" s="48"/>
      <c r="E141" s="48"/>
      <c r="F141" s="48"/>
      <c r="G141" s="48"/>
    </row>
    <row r="142" ht="15.75" customHeight="1">
      <c r="A142" s="48"/>
      <c r="B142" s="48"/>
      <c r="C142" s="48"/>
      <c r="D142" s="48"/>
      <c r="E142" s="48"/>
      <c r="F142" s="48"/>
      <c r="G142" s="48"/>
    </row>
    <row r="143" ht="15.75" customHeight="1">
      <c r="A143" s="48"/>
      <c r="B143" s="48"/>
      <c r="C143" s="48"/>
      <c r="D143" s="48"/>
      <c r="E143" s="48"/>
      <c r="F143" s="48"/>
      <c r="G143" s="48"/>
    </row>
    <row r="144" ht="15.75" customHeight="1">
      <c r="A144" s="48"/>
      <c r="B144" s="48"/>
      <c r="C144" s="48"/>
      <c r="D144" s="48"/>
      <c r="E144" s="48"/>
      <c r="F144" s="48"/>
      <c r="G144" s="48"/>
    </row>
    <row r="145" ht="15.75" customHeight="1">
      <c r="A145" s="48"/>
      <c r="B145" s="48"/>
      <c r="C145" s="48"/>
      <c r="D145" s="48"/>
      <c r="E145" s="48"/>
      <c r="F145" s="48"/>
      <c r="G145" s="48"/>
    </row>
    <row r="146" ht="15.75" customHeight="1">
      <c r="A146" s="48"/>
      <c r="B146" s="48"/>
      <c r="C146" s="48"/>
      <c r="D146" s="48"/>
      <c r="E146" s="48"/>
      <c r="F146" s="48"/>
      <c r="G146" s="48"/>
    </row>
    <row r="147" ht="15.75" customHeight="1">
      <c r="A147" s="48"/>
      <c r="B147" s="48"/>
      <c r="C147" s="48"/>
      <c r="D147" s="48"/>
      <c r="E147" s="48"/>
      <c r="F147" s="48"/>
      <c r="G147" s="48"/>
    </row>
    <row r="148" ht="15.75" customHeight="1">
      <c r="A148" s="48"/>
      <c r="B148" s="48"/>
      <c r="C148" s="48"/>
      <c r="D148" s="48"/>
      <c r="E148" s="48"/>
      <c r="F148" s="48"/>
      <c r="G148" s="48"/>
    </row>
    <row r="149" ht="15.75" customHeight="1">
      <c r="A149" s="48"/>
      <c r="B149" s="48"/>
      <c r="C149" s="48"/>
      <c r="D149" s="48"/>
      <c r="E149" s="48"/>
      <c r="F149" s="48"/>
      <c r="G149" s="48"/>
    </row>
    <row r="150" ht="15.75" customHeight="1">
      <c r="A150" s="48"/>
      <c r="B150" s="48"/>
      <c r="C150" s="48"/>
      <c r="D150" s="48"/>
      <c r="E150" s="48"/>
      <c r="F150" s="48"/>
      <c r="G150" s="48"/>
    </row>
    <row r="151" ht="15.75" customHeight="1">
      <c r="A151" s="48"/>
      <c r="B151" s="48"/>
      <c r="C151" s="48"/>
      <c r="D151" s="48"/>
      <c r="E151" s="48"/>
      <c r="F151" s="48"/>
      <c r="G151" s="48"/>
    </row>
    <row r="152" ht="15.75" customHeight="1">
      <c r="A152" s="48"/>
      <c r="B152" s="48"/>
      <c r="C152" s="48"/>
      <c r="D152" s="48"/>
      <c r="E152" s="48"/>
      <c r="F152" s="48"/>
      <c r="G152" s="48"/>
    </row>
    <row r="153" ht="15.75" customHeight="1">
      <c r="A153" s="48"/>
      <c r="B153" s="48"/>
      <c r="C153" s="48"/>
      <c r="D153" s="48"/>
      <c r="E153" s="48"/>
      <c r="F153" s="48"/>
      <c r="G153" s="48"/>
    </row>
    <row r="154" ht="15.75" customHeight="1">
      <c r="A154" s="48"/>
      <c r="B154" s="48"/>
      <c r="C154" s="48"/>
      <c r="D154" s="48"/>
      <c r="E154" s="48"/>
      <c r="F154" s="48"/>
      <c r="G154" s="48"/>
    </row>
    <row r="155" ht="15.75" customHeight="1">
      <c r="A155" s="48"/>
      <c r="B155" s="48"/>
      <c r="C155" s="48"/>
      <c r="D155" s="48"/>
      <c r="E155" s="48"/>
      <c r="F155" s="48"/>
      <c r="G155" s="48"/>
    </row>
    <row r="156" ht="15.75" customHeight="1">
      <c r="A156" s="48"/>
      <c r="B156" s="48"/>
      <c r="C156" s="48"/>
      <c r="D156" s="48"/>
      <c r="E156" s="48"/>
      <c r="F156" s="48"/>
      <c r="G156" s="48"/>
    </row>
    <row r="157" ht="15.75" customHeight="1">
      <c r="A157" s="48"/>
      <c r="B157" s="48"/>
      <c r="C157" s="48"/>
      <c r="D157" s="48"/>
      <c r="E157" s="48"/>
      <c r="F157" s="48"/>
      <c r="G157" s="48"/>
    </row>
    <row r="158" ht="15.75" customHeight="1">
      <c r="A158" s="48"/>
      <c r="B158" s="48"/>
      <c r="C158" s="48"/>
      <c r="D158" s="48"/>
      <c r="E158" s="48"/>
      <c r="F158" s="48"/>
      <c r="G158" s="48"/>
    </row>
    <row r="159" ht="15.75" customHeight="1">
      <c r="A159" s="48"/>
      <c r="B159" s="48"/>
      <c r="C159" s="48"/>
      <c r="D159" s="48"/>
      <c r="E159" s="48"/>
      <c r="F159" s="48"/>
      <c r="G159" s="48"/>
    </row>
    <row r="160" ht="15.75" customHeight="1">
      <c r="A160" s="48"/>
      <c r="B160" s="48"/>
      <c r="C160" s="48"/>
      <c r="D160" s="48"/>
      <c r="E160" s="48"/>
      <c r="F160" s="48"/>
      <c r="G160" s="48"/>
    </row>
    <row r="161" ht="15.75" customHeight="1">
      <c r="A161" s="48"/>
      <c r="B161" s="48"/>
      <c r="C161" s="48"/>
      <c r="D161" s="48"/>
      <c r="E161" s="48"/>
      <c r="F161" s="48"/>
      <c r="G161" s="48"/>
    </row>
    <row r="162" ht="15.75" customHeight="1">
      <c r="A162" s="48"/>
      <c r="B162" s="48"/>
      <c r="C162" s="48"/>
      <c r="D162" s="48"/>
      <c r="E162" s="48"/>
      <c r="F162" s="48"/>
      <c r="G162" s="48"/>
    </row>
    <row r="163" ht="15.75" customHeight="1">
      <c r="A163" s="48"/>
      <c r="B163" s="48"/>
      <c r="C163" s="48"/>
      <c r="D163" s="48"/>
      <c r="E163" s="48"/>
      <c r="F163" s="48"/>
      <c r="G163" s="48"/>
    </row>
    <row r="164" ht="15.75" customHeight="1">
      <c r="A164" s="48"/>
      <c r="B164" s="48"/>
      <c r="C164" s="48"/>
      <c r="D164" s="48"/>
      <c r="E164" s="48"/>
      <c r="F164" s="48"/>
      <c r="G164" s="48"/>
    </row>
    <row r="165" ht="15.75" customHeight="1">
      <c r="A165" s="48"/>
      <c r="B165" s="48"/>
      <c r="C165" s="48"/>
      <c r="D165" s="48"/>
      <c r="E165" s="48"/>
      <c r="F165" s="48"/>
      <c r="G165" s="48"/>
    </row>
    <row r="166" ht="15.75" customHeight="1">
      <c r="A166" s="48"/>
      <c r="B166" s="48"/>
      <c r="C166" s="48"/>
      <c r="D166" s="48"/>
      <c r="E166" s="48"/>
      <c r="F166" s="48"/>
      <c r="G166" s="48"/>
    </row>
    <row r="167" ht="15.75" customHeight="1">
      <c r="A167" s="48"/>
      <c r="B167" s="48"/>
      <c r="C167" s="48"/>
      <c r="D167" s="48"/>
      <c r="E167" s="48"/>
      <c r="F167" s="48"/>
      <c r="G167" s="48"/>
    </row>
    <row r="168" ht="15.75" customHeight="1">
      <c r="A168" s="48"/>
      <c r="B168" s="48"/>
      <c r="C168" s="48"/>
      <c r="D168" s="48"/>
      <c r="E168" s="48"/>
      <c r="F168" s="48"/>
      <c r="G168" s="48"/>
    </row>
    <row r="169" ht="15.75" customHeight="1">
      <c r="A169" s="48"/>
      <c r="B169" s="48"/>
      <c r="C169" s="48"/>
      <c r="D169" s="48"/>
      <c r="E169" s="48"/>
      <c r="F169" s="48"/>
      <c r="G169" s="48"/>
    </row>
    <row r="170" ht="15.75" customHeight="1">
      <c r="A170" s="48"/>
      <c r="B170" s="48"/>
      <c r="C170" s="48"/>
      <c r="D170" s="48"/>
      <c r="E170" s="48"/>
      <c r="F170" s="48"/>
      <c r="G170" s="48"/>
    </row>
    <row r="171" ht="15.75" customHeight="1">
      <c r="A171" s="48"/>
      <c r="B171" s="48"/>
      <c r="C171" s="48"/>
      <c r="D171" s="48"/>
      <c r="E171" s="48"/>
      <c r="F171" s="48"/>
      <c r="G171" s="48"/>
    </row>
    <row r="172" ht="15.75" customHeight="1">
      <c r="A172" s="48"/>
      <c r="B172" s="48"/>
      <c r="C172" s="48"/>
      <c r="D172" s="48"/>
      <c r="E172" s="48"/>
      <c r="F172" s="48"/>
      <c r="G172" s="48"/>
    </row>
    <row r="173" ht="15.75" customHeight="1">
      <c r="A173" s="48"/>
      <c r="B173" s="48"/>
      <c r="C173" s="48"/>
      <c r="D173" s="48"/>
      <c r="E173" s="48"/>
      <c r="F173" s="48"/>
      <c r="G173" s="48"/>
    </row>
    <row r="174" ht="15.75" customHeight="1">
      <c r="A174" s="48"/>
      <c r="B174" s="48"/>
      <c r="C174" s="48"/>
      <c r="D174" s="48"/>
      <c r="E174" s="48"/>
      <c r="F174" s="48"/>
      <c r="G174" s="48"/>
    </row>
    <row r="175" ht="15.75" customHeight="1">
      <c r="A175" s="48"/>
      <c r="B175" s="48"/>
      <c r="C175" s="48"/>
      <c r="D175" s="48"/>
      <c r="E175" s="48"/>
      <c r="F175" s="48"/>
      <c r="G175" s="48"/>
    </row>
    <row r="176" ht="15.75" customHeight="1">
      <c r="A176" s="48"/>
      <c r="B176" s="48"/>
      <c r="C176" s="48"/>
      <c r="D176" s="48"/>
      <c r="E176" s="48"/>
      <c r="F176" s="48"/>
      <c r="G176" s="48"/>
    </row>
    <row r="177" ht="15.75" customHeight="1">
      <c r="A177" s="48"/>
      <c r="B177" s="48"/>
      <c r="C177" s="48"/>
      <c r="D177" s="48"/>
      <c r="E177" s="48"/>
      <c r="F177" s="48"/>
      <c r="G177" s="48"/>
    </row>
    <row r="178" ht="15.75" customHeight="1">
      <c r="A178" s="48"/>
      <c r="B178" s="48"/>
      <c r="C178" s="48"/>
      <c r="D178" s="48"/>
      <c r="E178" s="48"/>
      <c r="F178" s="48"/>
      <c r="G178" s="48"/>
    </row>
    <row r="179" ht="15.75" customHeight="1">
      <c r="A179" s="48"/>
      <c r="B179" s="48"/>
      <c r="C179" s="48"/>
      <c r="D179" s="48"/>
      <c r="E179" s="48"/>
      <c r="F179" s="48"/>
      <c r="G179" s="48"/>
    </row>
    <row r="180" ht="15.75" customHeight="1">
      <c r="A180" s="48"/>
      <c r="B180" s="48"/>
      <c r="C180" s="48"/>
      <c r="D180" s="48"/>
      <c r="E180" s="48"/>
      <c r="F180" s="48"/>
      <c r="G180" s="48"/>
    </row>
    <row r="181" ht="15.75" customHeight="1">
      <c r="A181" s="48"/>
      <c r="B181" s="48"/>
      <c r="C181" s="48"/>
      <c r="D181" s="48"/>
      <c r="E181" s="48"/>
      <c r="F181" s="48"/>
      <c r="G181" s="48"/>
    </row>
    <row r="182" ht="15.75" customHeight="1">
      <c r="A182" s="48"/>
      <c r="B182" s="48"/>
      <c r="C182" s="48"/>
      <c r="D182" s="48"/>
      <c r="E182" s="48"/>
      <c r="F182" s="48"/>
      <c r="G182" s="48"/>
    </row>
    <row r="183" ht="15.75" customHeight="1">
      <c r="A183" s="48"/>
      <c r="B183" s="48"/>
      <c r="C183" s="48"/>
      <c r="D183" s="48"/>
      <c r="E183" s="48"/>
      <c r="F183" s="48"/>
      <c r="G183" s="48"/>
    </row>
    <row r="184" ht="15.75" customHeight="1">
      <c r="A184" s="48"/>
      <c r="B184" s="48"/>
      <c r="C184" s="48"/>
      <c r="D184" s="48"/>
      <c r="E184" s="48"/>
      <c r="F184" s="48"/>
      <c r="G184" s="48"/>
    </row>
    <row r="185" ht="15.75" customHeight="1">
      <c r="A185" s="48"/>
      <c r="B185" s="48"/>
      <c r="C185" s="48"/>
      <c r="D185" s="48"/>
      <c r="E185" s="48"/>
      <c r="F185" s="48"/>
      <c r="G185" s="48"/>
    </row>
    <row r="186" ht="15.75" customHeight="1">
      <c r="A186" s="48"/>
      <c r="B186" s="48"/>
      <c r="C186" s="48"/>
      <c r="D186" s="48"/>
      <c r="E186" s="48"/>
      <c r="F186" s="48"/>
      <c r="G186" s="48"/>
    </row>
    <row r="187" ht="15.75" customHeight="1">
      <c r="A187" s="48"/>
      <c r="B187" s="48"/>
      <c r="C187" s="48"/>
      <c r="D187" s="48"/>
      <c r="E187" s="48"/>
      <c r="F187" s="48"/>
      <c r="G187" s="48"/>
    </row>
    <row r="188" ht="15.75" customHeight="1">
      <c r="A188" s="48"/>
      <c r="B188" s="48"/>
      <c r="C188" s="48"/>
      <c r="D188" s="48"/>
      <c r="E188" s="48"/>
      <c r="F188" s="48"/>
      <c r="G188" s="48"/>
    </row>
    <row r="189" ht="15.75" customHeight="1">
      <c r="A189" s="48"/>
      <c r="B189" s="48"/>
      <c r="C189" s="48"/>
      <c r="D189" s="48"/>
      <c r="E189" s="48"/>
      <c r="F189" s="48"/>
      <c r="G189" s="48"/>
    </row>
    <row r="190" ht="15.75" customHeight="1">
      <c r="A190" s="48"/>
      <c r="B190" s="48"/>
      <c r="C190" s="48"/>
      <c r="D190" s="48"/>
      <c r="E190" s="48"/>
      <c r="F190" s="48"/>
      <c r="G190" s="48"/>
    </row>
    <row r="191" ht="15.75" customHeight="1">
      <c r="A191" s="48"/>
      <c r="B191" s="48"/>
      <c r="C191" s="48"/>
      <c r="D191" s="48"/>
      <c r="E191" s="48"/>
      <c r="F191" s="48"/>
      <c r="G191" s="48"/>
    </row>
    <row r="192" ht="15.75" customHeight="1">
      <c r="A192" s="48"/>
      <c r="B192" s="48"/>
      <c r="C192" s="48"/>
      <c r="D192" s="48"/>
      <c r="E192" s="48"/>
      <c r="F192" s="48"/>
      <c r="G192" s="48"/>
    </row>
    <row r="193" ht="15.75" customHeight="1">
      <c r="A193" s="48"/>
      <c r="B193" s="48"/>
      <c r="C193" s="48"/>
      <c r="D193" s="48"/>
      <c r="E193" s="48"/>
      <c r="F193" s="48"/>
      <c r="G193" s="48"/>
    </row>
    <row r="194" ht="15.75" customHeight="1">
      <c r="A194" s="48"/>
      <c r="B194" s="48"/>
      <c r="C194" s="48"/>
      <c r="D194" s="48"/>
      <c r="E194" s="48"/>
      <c r="F194" s="48"/>
      <c r="G194" s="48"/>
    </row>
    <row r="195" ht="15.75" customHeight="1">
      <c r="A195" s="48"/>
      <c r="B195" s="48"/>
      <c r="C195" s="48"/>
      <c r="D195" s="48"/>
      <c r="E195" s="48"/>
      <c r="F195" s="48"/>
      <c r="G195" s="48"/>
    </row>
    <row r="196" ht="15.75" customHeight="1">
      <c r="A196" s="48"/>
      <c r="B196" s="48"/>
      <c r="C196" s="48"/>
      <c r="D196" s="48"/>
      <c r="E196" s="48"/>
      <c r="F196" s="48"/>
      <c r="G196" s="48"/>
    </row>
    <row r="197" ht="15.75" customHeight="1">
      <c r="A197" s="48"/>
      <c r="B197" s="48"/>
      <c r="C197" s="48"/>
      <c r="D197" s="48"/>
      <c r="E197" s="48"/>
      <c r="F197" s="48"/>
      <c r="G197" s="48"/>
    </row>
    <row r="198" ht="15.75" customHeight="1">
      <c r="A198" s="48"/>
      <c r="B198" s="48"/>
      <c r="C198" s="48"/>
      <c r="D198" s="48"/>
      <c r="E198" s="48"/>
      <c r="F198" s="48"/>
      <c r="G198" s="48"/>
    </row>
    <row r="199" ht="15.75" customHeight="1">
      <c r="A199" s="48"/>
      <c r="B199" s="48"/>
      <c r="C199" s="48"/>
      <c r="D199" s="48"/>
      <c r="E199" s="48"/>
      <c r="F199" s="48"/>
      <c r="G199" s="48"/>
    </row>
    <row r="200" ht="15.75" customHeight="1">
      <c r="A200" s="48"/>
      <c r="B200" s="48"/>
      <c r="C200" s="48"/>
      <c r="D200" s="48"/>
      <c r="E200" s="48"/>
      <c r="F200" s="48"/>
      <c r="G200" s="48"/>
    </row>
    <row r="201" ht="15.75" customHeight="1">
      <c r="A201" s="48"/>
      <c r="B201" s="48"/>
      <c r="C201" s="48"/>
      <c r="D201" s="48"/>
      <c r="E201" s="48"/>
      <c r="F201" s="48"/>
      <c r="G201" s="48"/>
    </row>
    <row r="202" ht="15.75" customHeight="1">
      <c r="A202" s="48"/>
      <c r="B202" s="48"/>
      <c r="C202" s="48"/>
      <c r="D202" s="48"/>
      <c r="E202" s="48"/>
      <c r="F202" s="48"/>
      <c r="G202" s="48"/>
    </row>
    <row r="203" ht="15.75" customHeight="1">
      <c r="A203" s="48"/>
      <c r="B203" s="48"/>
      <c r="C203" s="48"/>
      <c r="D203" s="48"/>
      <c r="E203" s="48"/>
      <c r="F203" s="48"/>
      <c r="G203" s="48"/>
    </row>
    <row r="204" ht="15.75" customHeight="1">
      <c r="A204" s="48"/>
      <c r="B204" s="48"/>
      <c r="C204" s="48"/>
      <c r="D204" s="48"/>
      <c r="E204" s="48"/>
      <c r="F204" s="48"/>
      <c r="G204" s="48"/>
    </row>
    <row r="205" ht="15.75" customHeight="1">
      <c r="A205" s="48"/>
      <c r="B205" s="48"/>
      <c r="C205" s="48"/>
      <c r="D205" s="48"/>
      <c r="E205" s="48"/>
      <c r="F205" s="48"/>
      <c r="G205" s="48"/>
    </row>
    <row r="206" ht="15.75" customHeight="1">
      <c r="A206" s="48"/>
      <c r="B206" s="48"/>
      <c r="C206" s="48"/>
      <c r="D206" s="48"/>
      <c r="E206" s="48"/>
      <c r="F206" s="48"/>
      <c r="G206" s="48"/>
    </row>
    <row r="207" ht="15.75" customHeight="1">
      <c r="A207" s="48"/>
      <c r="B207" s="48"/>
      <c r="C207" s="48"/>
      <c r="D207" s="48"/>
      <c r="E207" s="48"/>
      <c r="F207" s="48"/>
      <c r="G207" s="48"/>
    </row>
    <row r="208" ht="15.75" customHeight="1">
      <c r="A208" s="48"/>
      <c r="B208" s="48"/>
      <c r="C208" s="48"/>
      <c r="D208" s="48"/>
      <c r="E208" s="48"/>
      <c r="F208" s="48"/>
      <c r="G208" s="48"/>
    </row>
    <row r="209" ht="15.75" customHeight="1">
      <c r="A209" s="48"/>
      <c r="B209" s="48"/>
      <c r="C209" s="48"/>
      <c r="D209" s="48"/>
      <c r="E209" s="48"/>
      <c r="F209" s="48"/>
      <c r="G209" s="48"/>
    </row>
    <row r="210" ht="15.75" customHeight="1">
      <c r="A210" s="48"/>
      <c r="B210" s="48"/>
      <c r="C210" s="48"/>
      <c r="D210" s="48"/>
      <c r="E210" s="48"/>
      <c r="F210" s="48"/>
      <c r="G210" s="48"/>
    </row>
    <row r="211" ht="15.75" customHeight="1">
      <c r="A211" s="48"/>
      <c r="B211" s="48"/>
      <c r="C211" s="48"/>
      <c r="D211" s="48"/>
      <c r="E211" s="48"/>
      <c r="F211" s="48"/>
      <c r="G211" s="48"/>
    </row>
    <row r="212" ht="15.75" customHeight="1">
      <c r="A212" s="48"/>
      <c r="B212" s="48"/>
      <c r="C212" s="48"/>
      <c r="D212" s="48"/>
      <c r="E212" s="48"/>
      <c r="F212" s="48"/>
      <c r="G212" s="48"/>
    </row>
    <row r="213" ht="15.75" customHeight="1">
      <c r="A213" s="48"/>
      <c r="B213" s="48"/>
      <c r="C213" s="48"/>
      <c r="D213" s="48"/>
      <c r="E213" s="48"/>
      <c r="F213" s="48"/>
      <c r="G213" s="48"/>
    </row>
    <row r="214" ht="15.75" customHeight="1">
      <c r="A214" s="48"/>
      <c r="B214" s="48"/>
      <c r="C214" s="48"/>
      <c r="D214" s="48"/>
      <c r="E214" s="48"/>
      <c r="F214" s="48"/>
      <c r="G214" s="48"/>
    </row>
    <row r="215" ht="15.75" customHeight="1">
      <c r="A215" s="48"/>
      <c r="B215" s="48"/>
      <c r="C215" s="48"/>
      <c r="D215" s="48"/>
      <c r="E215" s="48"/>
      <c r="F215" s="48"/>
      <c r="G215" s="48"/>
    </row>
    <row r="216" ht="15.75" customHeight="1">
      <c r="A216" s="48"/>
      <c r="B216" s="48"/>
      <c r="C216" s="48"/>
      <c r="D216" s="48"/>
      <c r="E216" s="48"/>
      <c r="F216" s="48"/>
      <c r="G216" s="48"/>
    </row>
    <row r="217" ht="15.75" customHeight="1">
      <c r="A217" s="48"/>
      <c r="B217" s="48"/>
      <c r="C217" s="48"/>
      <c r="D217" s="48"/>
      <c r="E217" s="48"/>
      <c r="F217" s="48"/>
      <c r="G217" s="48"/>
    </row>
    <row r="218" ht="15.75" customHeight="1">
      <c r="A218" s="48"/>
      <c r="B218" s="48"/>
      <c r="C218" s="48"/>
      <c r="D218" s="48"/>
      <c r="E218" s="48"/>
      <c r="F218" s="48"/>
      <c r="G218" s="48"/>
    </row>
    <row r="219" ht="15.75" customHeight="1">
      <c r="A219" s="48"/>
      <c r="B219" s="48"/>
      <c r="C219" s="48"/>
      <c r="D219" s="48"/>
      <c r="E219" s="48"/>
      <c r="F219" s="48"/>
      <c r="G219" s="48"/>
    </row>
    <row r="220" ht="15.75" customHeight="1">
      <c r="A220" s="48"/>
      <c r="B220" s="48"/>
      <c r="C220" s="48"/>
      <c r="D220" s="48"/>
      <c r="E220" s="48"/>
      <c r="F220" s="48"/>
      <c r="G220" s="48"/>
    </row>
    <row r="221" ht="15.75" customHeight="1">
      <c r="A221" s="48"/>
      <c r="B221" s="48"/>
      <c r="C221" s="48"/>
      <c r="D221" s="48"/>
      <c r="E221" s="48"/>
      <c r="F221" s="48"/>
      <c r="G221" s="48"/>
    </row>
    <row r="222" ht="15.75" customHeight="1">
      <c r="A222" s="48"/>
      <c r="B222" s="48"/>
      <c r="C222" s="48"/>
      <c r="D222" s="48"/>
      <c r="E222" s="48"/>
      <c r="F222" s="48"/>
      <c r="G222" s="48"/>
    </row>
    <row r="223" ht="15.75" customHeight="1">
      <c r="A223" s="48"/>
      <c r="B223" s="48"/>
      <c r="C223" s="48"/>
      <c r="D223" s="48"/>
      <c r="E223" s="48"/>
      <c r="F223" s="48"/>
      <c r="G223" s="48"/>
    </row>
    <row r="224" ht="15.75" customHeight="1">
      <c r="A224" s="48"/>
      <c r="B224" s="48"/>
      <c r="C224" s="48"/>
      <c r="D224" s="48"/>
      <c r="E224" s="48"/>
      <c r="F224" s="48"/>
      <c r="G224" s="48"/>
    </row>
    <row r="225" ht="15.75" customHeight="1">
      <c r="A225" s="48"/>
      <c r="B225" s="48"/>
      <c r="C225" s="48"/>
      <c r="D225" s="48"/>
      <c r="E225" s="48"/>
      <c r="F225" s="48"/>
      <c r="G225" s="48"/>
    </row>
    <row r="226" ht="15.75" customHeight="1">
      <c r="A226" s="48"/>
      <c r="B226" s="48"/>
      <c r="C226" s="48"/>
      <c r="D226" s="48"/>
      <c r="E226" s="48"/>
      <c r="F226" s="48"/>
      <c r="G226" s="48"/>
    </row>
    <row r="227" ht="15.75" customHeight="1">
      <c r="A227" s="48"/>
      <c r="B227" s="48"/>
      <c r="C227" s="48"/>
      <c r="D227" s="48"/>
      <c r="E227" s="48"/>
      <c r="F227" s="48"/>
      <c r="G227" s="48"/>
    </row>
    <row r="228" ht="15.75" customHeight="1">
      <c r="A228" s="48"/>
      <c r="B228" s="48"/>
      <c r="C228" s="48"/>
      <c r="D228" s="48"/>
      <c r="E228" s="48"/>
      <c r="F228" s="48"/>
      <c r="G228" s="48"/>
    </row>
    <row r="229" ht="15.75" customHeight="1">
      <c r="A229" s="48"/>
      <c r="B229" s="48"/>
      <c r="C229" s="48"/>
      <c r="D229" s="48"/>
      <c r="E229" s="48"/>
      <c r="F229" s="48"/>
      <c r="G229" s="48"/>
    </row>
    <row r="230" ht="15.75" customHeight="1">
      <c r="A230" s="48"/>
      <c r="B230" s="48"/>
      <c r="C230" s="48"/>
      <c r="D230" s="48"/>
      <c r="E230" s="48"/>
      <c r="F230" s="48"/>
      <c r="G230" s="48"/>
    </row>
    <row r="231" ht="15.75" customHeight="1">
      <c r="A231" s="48"/>
      <c r="B231" s="48"/>
      <c r="C231" s="48"/>
      <c r="D231" s="48"/>
      <c r="E231" s="48"/>
      <c r="F231" s="48"/>
      <c r="G231" s="48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H1:J1"/>
    <mergeCell ref="M1:N1"/>
  </mergeCells>
  <conditionalFormatting sqref="G3:G31 K3:M31">
    <cfRule type="containsText" dxfId="0" priority="1" operator="containsText" text="Extremo">
      <formula>NOT(ISERROR(SEARCH(("Extremo"),(G3))))</formula>
    </cfRule>
  </conditionalFormatting>
  <conditionalFormatting sqref="G3:G31 K3:M31">
    <cfRule type="containsText" dxfId="1" priority="2" operator="containsText" text="Alto">
      <formula>NOT(ISERROR(SEARCH(("Alto"),(G3))))</formula>
    </cfRule>
  </conditionalFormatting>
  <conditionalFormatting sqref="G3:G31 K3:M31">
    <cfRule type="containsText" dxfId="2" priority="3" operator="containsText" text="Médio">
      <formula>NOT(ISERROR(SEARCH(("Médio"),(G3))))</formula>
    </cfRule>
  </conditionalFormatting>
  <conditionalFormatting sqref="G3:G31 K3:M31">
    <cfRule type="containsText" dxfId="3" priority="4" operator="containsText" text="Baixo">
      <formula>NOT(ISERROR(SEARCH(("Baixo"),(G3))))</formula>
    </cfRule>
  </conditionalFormatting>
  <dataValidations>
    <dataValidation type="list" allowBlank="1" showErrorMessage="1" sqref="J3:J31">
      <formula1>"Inexistente,Fraco,Mediano,Satisfatório,Forte"</formula1>
    </dataValidation>
    <dataValidation type="list" allowBlank="1" showErrorMessage="1" sqref="B3:B31">
      <formula1>"Muito baixa,Baixa,Média,Alta,Muito alta"</formula1>
    </dataValidation>
    <dataValidation type="list" allowBlank="1" showErrorMessage="1" sqref="D3:D31">
      <formula1>"Muito baixo,Baixo,Médio,Alto,Muito alto"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18.75"/>
    <col customWidth="1" min="3" max="3" width="96.63"/>
    <col customWidth="1" min="4" max="4" width="20.63"/>
    <col customWidth="1" min="5" max="5" width="95.13"/>
    <col customWidth="1" min="6" max="6" width="14.38"/>
  </cols>
  <sheetData>
    <row r="1" ht="15.75" customHeight="1">
      <c r="A1" s="49" t="s">
        <v>107</v>
      </c>
      <c r="B1" s="20"/>
      <c r="C1" s="20"/>
      <c r="D1" s="20"/>
      <c r="E1" s="2"/>
    </row>
    <row r="2" ht="15.75" customHeight="1">
      <c r="A2" s="50" t="s">
        <v>9</v>
      </c>
      <c r="B2" s="50" t="s">
        <v>10</v>
      </c>
      <c r="C2" s="51" t="s">
        <v>65</v>
      </c>
      <c r="D2" s="50" t="s">
        <v>108</v>
      </c>
      <c r="E2" s="52" t="s">
        <v>109</v>
      </c>
    </row>
    <row r="3" ht="15.75" customHeight="1">
      <c r="A3" s="42" t="str">
        <f>'ETAPA 2. IDENTIFICAÇÃO DE EVENT'!A3</f>
        <v>Evento de entrega de diplomas de conclusão de curso</v>
      </c>
      <c r="B3" s="42"/>
      <c r="C3" s="42"/>
      <c r="D3" s="41" t="s">
        <v>110</v>
      </c>
      <c r="E3" s="46"/>
    </row>
    <row r="4" ht="15.75" customHeight="1">
      <c r="A4" s="42" t="str">
        <f>'ETAPA 2. IDENTIFICAÇÃO DE EVENT'!A4</f>
        <v>Evento de entrega de diplomas de conclusão de curso</v>
      </c>
      <c r="B4" s="42" t="str">
        <f>'ETAPA 2. IDENTIFICAÇÃO DE EVENT'!B4</f>
        <v>Planejamento</v>
      </c>
      <c r="C4" s="42" t="str">
        <f>'ETAPA 2. IDENTIFICAÇÃO DE EVENT'!C4</f>
        <v>Entrega de diploma com dados incorretos (ex: nome do curso, data, nome do aluno).</v>
      </c>
      <c r="D4" s="41" t="s">
        <v>110</v>
      </c>
      <c r="E4" s="46" t="s">
        <v>111</v>
      </c>
    </row>
    <row r="5" ht="15.75" customHeight="1">
      <c r="A5" s="42" t="str">
        <f>'ETAPA 2. IDENTIFICAÇÃO DE EVENT'!A5</f>
        <v>Evento de entrega de diplomas de conclusão de curso</v>
      </c>
      <c r="B5" s="46" t="s">
        <v>17</v>
      </c>
      <c r="C5" s="42" t="str">
        <f>'ETAPA 2. IDENTIFICAÇÃO DE EVENT'!C5</f>
        <v>Não comparecimento (ausência) da autoridade máxima (Reitor/Diretor) na data marcada.</v>
      </c>
      <c r="D5" s="41" t="s">
        <v>112</v>
      </c>
      <c r="E5" s="53" t="s">
        <v>113</v>
      </c>
    </row>
    <row r="6" ht="15.75" customHeight="1">
      <c r="A6" s="42" t="str">
        <f>'ETAPA 2. IDENTIFICAÇÃO DE EVENT'!A6</f>
        <v>Evento de entrega de diplomas de conclusão de curso</v>
      </c>
      <c r="B6" s="46" t="s">
        <v>17</v>
      </c>
      <c r="C6" s="42" t="str">
        <f>'ETAPA 2. IDENTIFICAÇÃO DE EVENT'!C6</f>
        <v>Superlotação do local, excedendo a capacidade de segurança e conforto (falha no controle de convites).</v>
      </c>
      <c r="D6" s="41" t="s">
        <v>114</v>
      </c>
      <c r="E6" s="46" t="s">
        <v>115</v>
      </c>
    </row>
    <row r="7" ht="15.75" customHeight="1">
      <c r="A7" s="42" t="str">
        <f>'ETAPA 2. IDENTIFICAÇÃO DE EVENT'!A7</f>
        <v>Evento de entrega de diplomas de conclusão de curso</v>
      </c>
      <c r="B7" s="46" t="s">
        <v>17</v>
      </c>
      <c r="C7" s="42" t="str">
        <f>'ETAPA 2. IDENTIFICAÇÃO DE EVENT'!C7</f>
        <v>Entrega do diploma ao formando errado devido à falha de identificação no momento da retirada.</v>
      </c>
      <c r="D7" s="41" t="s">
        <v>116</v>
      </c>
      <c r="E7" s="46" t="s">
        <v>117</v>
      </c>
    </row>
    <row r="8" ht="15.75" customHeight="1">
      <c r="A8" s="42" t="str">
        <f>'ETAPA 2. IDENTIFICAÇÃO DE EVENT'!A8</f>
        <v>Evento de entrega de diplomas de conclusão de curso</v>
      </c>
      <c r="B8" s="46" t="s">
        <v>17</v>
      </c>
      <c r="C8" s="42" t="str">
        <f>'ETAPA 2. IDENTIFICAÇÃO DE EVENT'!C8</f>
        <v>Tentativa de fraude (colação de grau por procuração falsa ou retirada de diploma por terceiros não autorizados).</v>
      </c>
      <c r="D8" s="41" t="s">
        <v>110</v>
      </c>
      <c r="E8" s="46" t="s">
        <v>118</v>
      </c>
    </row>
    <row r="9" ht="15.75" customHeight="1">
      <c r="A9" s="42" t="str">
        <f>'ETAPA 2. IDENTIFICAÇÃO DE EVENT'!A9</f>
        <v>Evento de entrega de diplomas de conclusão de curso</v>
      </c>
      <c r="B9" s="46" t="s">
        <v>17</v>
      </c>
      <c r="C9" s="42" t="str">
        <f>'ETAPA 2. IDENTIFICAÇÃO DE EVENT'!C9</f>
        <v>Falha técnica nos equipamentos de som ou projeção durante a solenidade (microfones, telões, iluminação).</v>
      </c>
      <c r="D9" s="41" t="s">
        <v>112</v>
      </c>
      <c r="E9" s="46" t="s">
        <v>119</v>
      </c>
    </row>
    <row r="10" ht="15.75" customHeight="1">
      <c r="A10" s="42" t="str">
        <f>'ETAPA 2. IDENTIFICAÇÃO DE EVENT'!A10</f>
        <v>Evento de entrega de diplomas de conclusão de curso</v>
      </c>
      <c r="B10" s="46" t="s">
        <v>17</v>
      </c>
      <c r="C10" s="42" t="str">
        <f>'ETAPA 2. IDENTIFICAÇÃO DE EVENT'!C10</f>
        <v>O número de diplomas prontos para entrega é menor que o número de formandos aptos confirmados.</v>
      </c>
      <c r="D10" s="41" t="s">
        <v>112</v>
      </c>
      <c r="E10" s="46" t="s">
        <v>120</v>
      </c>
    </row>
    <row r="11" ht="15.75" customHeight="1">
      <c r="A11" s="42" t="str">
        <f>'ETAPA 2. IDENTIFICAÇÃO DE EVENT'!A11</f>
        <v>Evento de entrega de diplomas de conclusão de curso</v>
      </c>
      <c r="B11" s="46" t="s">
        <v>17</v>
      </c>
      <c r="C11" s="42" t="str">
        <f>'ETAPA 2. IDENTIFICAÇÃO DE EVENT'!C11</f>
        <v>Divulgação de notícias negativas ou reclamações públicas (ex: em redes sociais) sobre a má organização ou atrasos excessivos.</v>
      </c>
      <c r="D11" s="41" t="s">
        <v>110</v>
      </c>
      <c r="E11" s="46" t="s">
        <v>121</v>
      </c>
    </row>
    <row r="12" ht="15.75" customHeight="1">
      <c r="A12" s="42" t="str">
        <f>'ETAPA 2. IDENTIFICAÇÃO DE EVENT'!A12</f>
        <v>Evento de entrega de diplomas de conclusão de curso</v>
      </c>
      <c r="B12" s="46" t="s">
        <v>17</v>
      </c>
      <c r="C12" s="42" t="str">
        <f>'ETAPA 2. IDENTIFICAÇÃO DE EVENT'!C12</f>
        <v>Ocorrência de acidentes ou incidentes físicos com convidados ou formandos nas dependências do local do evento.</v>
      </c>
      <c r="D12" s="41" t="s">
        <v>114</v>
      </c>
      <c r="E12" s="46" t="s">
        <v>122</v>
      </c>
    </row>
    <row r="13" ht="15.75" customHeight="1">
      <c r="A13" s="42" t="str">
        <f>'ETAPA 2. IDENTIFICAÇÃO DE EVENT'!A13</f>
        <v>Evento de entrega de diplomas de conclusão de curso</v>
      </c>
      <c r="B13" s="46" t="s">
        <v>17</v>
      </c>
      <c r="C13" s="42" t="str">
        <f>'ETAPA 2. IDENTIFICAÇÃO DE EVENT'!C13</f>
        <v>Atraso na liberação ou entrega do espaço físico (auditório/teatro) para a montagem no dia do evento.</v>
      </c>
      <c r="D13" s="41" t="s">
        <v>110</v>
      </c>
      <c r="E13" s="53" t="s">
        <v>123</v>
      </c>
    </row>
    <row r="14" ht="15.75" customHeight="1">
      <c r="A14" s="42" t="str">
        <f>'ETAPA 2. IDENTIFICAÇÃO DE EVENT'!A14</f>
        <v>Evento de entrega de diplomas de conclusão de curso</v>
      </c>
      <c r="B14" s="42" t="str">
        <f>'ETAPA 2. IDENTIFICAÇÃO DE EVENT'!B14</f>
        <v/>
      </c>
      <c r="C14" s="42" t="str">
        <f>'ETAPA 2. IDENTIFICAÇÃO DE EVENT'!C14</f>
        <v/>
      </c>
      <c r="D14" s="40"/>
      <c r="E14" s="42"/>
    </row>
    <row r="15" ht="15.75" customHeight="1">
      <c r="A15" s="42" t="str">
        <f>'ETAPA 2. IDENTIFICAÇÃO DE EVENT'!A15</f>
        <v>Evento de entrega de diplomas de conclusão de curso</v>
      </c>
      <c r="B15" s="42" t="str">
        <f>'ETAPA 2. IDENTIFICAÇÃO DE EVENT'!B15</f>
        <v/>
      </c>
      <c r="C15" s="42" t="str">
        <f>'ETAPA 2. IDENTIFICAÇÃO DE EVENT'!C15</f>
        <v/>
      </c>
      <c r="D15" s="40"/>
      <c r="E15" s="42"/>
    </row>
    <row r="16" ht="15.75" customHeight="1">
      <c r="A16" s="42" t="str">
        <f>'ETAPA 2. IDENTIFICAÇÃO DE EVENT'!A16</f>
        <v>Evento de entrega de diplomas de conclusão de curso</v>
      </c>
      <c r="B16" s="42" t="str">
        <f>'ETAPA 2. IDENTIFICAÇÃO DE EVENT'!B16</f>
        <v/>
      </c>
      <c r="C16" s="42" t="str">
        <f>'ETAPA 2. IDENTIFICAÇÃO DE EVENT'!C16</f>
        <v/>
      </c>
      <c r="D16" s="40"/>
      <c r="E16" s="42"/>
    </row>
    <row r="17" ht="15.75" customHeight="1">
      <c r="A17" s="42" t="str">
        <f>'ETAPA 2. IDENTIFICAÇÃO DE EVENT'!A17</f>
        <v>Evento de entrega de diplomas de conclusão de curso</v>
      </c>
      <c r="B17" s="42" t="str">
        <f>'ETAPA 2. IDENTIFICAÇÃO DE EVENT'!B17</f>
        <v/>
      </c>
      <c r="C17" s="42" t="str">
        <f>'ETAPA 2. IDENTIFICAÇÃO DE EVENT'!C17</f>
        <v/>
      </c>
      <c r="D17" s="40"/>
      <c r="E17" s="42"/>
    </row>
    <row r="18" ht="15.75" customHeight="1">
      <c r="A18" s="42" t="str">
        <f>'ETAPA 2. IDENTIFICAÇÃO DE EVENT'!A18</f>
        <v>Evento de entrega de diplomas de conclusão de curso</v>
      </c>
      <c r="B18" s="42" t="str">
        <f>'ETAPA 2. IDENTIFICAÇÃO DE EVENT'!B18</f>
        <v/>
      </c>
      <c r="C18" s="42" t="str">
        <f>'ETAPA 2. IDENTIFICAÇÃO DE EVENT'!C18</f>
        <v/>
      </c>
      <c r="D18" s="40"/>
      <c r="E18" s="42"/>
    </row>
    <row r="19" ht="15.75" customHeight="1">
      <c r="A19" s="42" t="str">
        <f>'ETAPA 2. IDENTIFICAÇÃO DE EVENT'!A19</f>
        <v>Evento de entrega de diplomas de conclusão de curso</v>
      </c>
      <c r="B19" s="42" t="str">
        <f>'ETAPA 2. IDENTIFICAÇÃO DE EVENT'!B19</f>
        <v/>
      </c>
      <c r="C19" s="42" t="str">
        <f>'ETAPA 2. IDENTIFICAÇÃO DE EVENT'!C19</f>
        <v/>
      </c>
      <c r="D19" s="40"/>
      <c r="E19" s="42"/>
    </row>
    <row r="20" ht="15.75" customHeight="1">
      <c r="A20" s="42" t="str">
        <f>'ETAPA 2. IDENTIFICAÇÃO DE EVENT'!A20</f>
        <v>Evento de entrega de diplomas de conclusão de curso</v>
      </c>
      <c r="B20" s="42" t="str">
        <f>'ETAPA 2. IDENTIFICAÇÃO DE EVENT'!B20</f>
        <v/>
      </c>
      <c r="C20" s="42" t="str">
        <f>'ETAPA 2. IDENTIFICAÇÃO DE EVENT'!C20</f>
        <v/>
      </c>
      <c r="D20" s="40"/>
      <c r="E20" s="42"/>
    </row>
    <row r="21" ht="15.75" customHeight="1">
      <c r="A21" s="42" t="str">
        <f>'ETAPA 2. IDENTIFICAÇÃO DE EVENT'!A21</f>
        <v>Evento de entrega de diplomas de conclusão de curso</v>
      </c>
      <c r="B21" s="42" t="str">
        <f>'ETAPA 2. IDENTIFICAÇÃO DE EVENT'!B21</f>
        <v/>
      </c>
      <c r="C21" s="42" t="str">
        <f>'ETAPA 2. IDENTIFICAÇÃO DE EVENT'!C21</f>
        <v/>
      </c>
      <c r="D21" s="40"/>
      <c r="E21" s="42"/>
    </row>
    <row r="22" ht="15.75" customHeight="1">
      <c r="A22" s="42" t="str">
        <f>'ETAPA 2. IDENTIFICAÇÃO DE EVENT'!A22</f>
        <v>Evento de entrega de diplomas de conclusão de curso</v>
      </c>
      <c r="B22" s="42" t="str">
        <f>'ETAPA 2. IDENTIFICAÇÃO DE EVENT'!B22</f>
        <v/>
      </c>
      <c r="C22" s="42" t="str">
        <f>'ETAPA 2. IDENTIFICAÇÃO DE EVENT'!C22</f>
        <v/>
      </c>
      <c r="D22" s="40"/>
      <c r="E22" s="42"/>
    </row>
    <row r="23" ht="15.75" customHeight="1">
      <c r="A23" s="42" t="str">
        <f>'ETAPA 2. IDENTIFICAÇÃO DE EVENT'!A23</f>
        <v>Evento de entrega de diplomas de conclusão de curso</v>
      </c>
      <c r="B23" s="42" t="str">
        <f>'ETAPA 2. IDENTIFICAÇÃO DE EVENT'!B23</f>
        <v/>
      </c>
      <c r="C23" s="42" t="str">
        <f>'ETAPA 2. IDENTIFICAÇÃO DE EVENT'!C23</f>
        <v/>
      </c>
      <c r="D23" s="40"/>
      <c r="E23" s="42"/>
    </row>
    <row r="24" ht="15.75" customHeight="1">
      <c r="A24" s="42" t="str">
        <f>'ETAPA 2. IDENTIFICAÇÃO DE EVENT'!A24</f>
        <v>Evento de entrega de diplomas de conclusão de curso</v>
      </c>
      <c r="B24" s="42" t="str">
        <f>'ETAPA 2. IDENTIFICAÇÃO DE EVENT'!B24</f>
        <v/>
      </c>
      <c r="C24" s="42" t="str">
        <f>'ETAPA 2. IDENTIFICAÇÃO DE EVENT'!C24</f>
        <v/>
      </c>
      <c r="D24" s="40"/>
      <c r="E24" s="42"/>
    </row>
    <row r="25" ht="15.75" customHeight="1">
      <c r="A25" s="42" t="str">
        <f>'ETAPA 2. IDENTIFICAÇÃO DE EVENT'!A25</f>
        <v>Evento de entrega de diplomas de conclusão de curso</v>
      </c>
      <c r="B25" s="42" t="str">
        <f>'ETAPA 2. IDENTIFICAÇÃO DE EVENT'!B25</f>
        <v/>
      </c>
      <c r="C25" s="42" t="str">
        <f>'ETAPA 2. IDENTIFICAÇÃO DE EVENT'!C25</f>
        <v/>
      </c>
      <c r="D25" s="40"/>
      <c r="E25" s="42"/>
    </row>
    <row r="26" ht="15.75" customHeight="1">
      <c r="A26" s="42" t="str">
        <f>'ETAPA 2. IDENTIFICAÇÃO DE EVENT'!A26</f>
        <v>Evento de entrega de diplomas de conclusão de curso</v>
      </c>
      <c r="B26" s="42" t="str">
        <f>'ETAPA 2. IDENTIFICAÇÃO DE EVENT'!B26</f>
        <v/>
      </c>
      <c r="C26" s="42" t="str">
        <f>'ETAPA 2. IDENTIFICAÇÃO DE EVENT'!C26</f>
        <v/>
      </c>
      <c r="D26" s="40"/>
      <c r="E26" s="42"/>
    </row>
    <row r="27" ht="15.75" customHeight="1">
      <c r="A27" s="42" t="str">
        <f>'ETAPA 2. IDENTIFICAÇÃO DE EVENT'!A27</f>
        <v>Evento de entrega de diplomas de conclusão de curso</v>
      </c>
      <c r="B27" s="42" t="str">
        <f>'ETAPA 2. IDENTIFICAÇÃO DE EVENT'!B27</f>
        <v/>
      </c>
      <c r="C27" s="42" t="str">
        <f>'ETAPA 2. IDENTIFICAÇÃO DE EVENT'!C27</f>
        <v/>
      </c>
      <c r="D27" s="40"/>
      <c r="E27" s="42"/>
    </row>
    <row r="28" ht="15.75" customHeight="1">
      <c r="A28" s="42" t="str">
        <f>'ETAPA 2. IDENTIFICAÇÃO DE EVENT'!A28</f>
        <v>Evento de entrega de diplomas de conclusão de curso</v>
      </c>
      <c r="B28" s="42" t="str">
        <f>'ETAPA 2. IDENTIFICAÇÃO DE EVENT'!B28</f>
        <v/>
      </c>
      <c r="C28" s="42" t="str">
        <f>'ETAPA 2. IDENTIFICAÇÃO DE EVENT'!C28</f>
        <v/>
      </c>
      <c r="D28" s="40"/>
      <c r="E28" s="42"/>
    </row>
    <row r="29" ht="15.75" customHeight="1">
      <c r="A29" s="42" t="str">
        <f>'ETAPA 2. IDENTIFICAÇÃO DE EVENT'!A29</f>
        <v>Evento de entrega de diplomas de conclusão de curso</v>
      </c>
      <c r="B29" s="42" t="str">
        <f>'ETAPA 2. IDENTIFICAÇÃO DE EVENT'!B29</f>
        <v/>
      </c>
      <c r="C29" s="42" t="str">
        <f>'ETAPA 2. IDENTIFICAÇÃO DE EVENT'!C29</f>
        <v/>
      </c>
      <c r="D29" s="40"/>
      <c r="E29" s="42"/>
    </row>
    <row r="30" ht="15.75" customHeight="1">
      <c r="A30" s="42" t="str">
        <f>'ETAPA 2. IDENTIFICAÇÃO DE EVENT'!A30</f>
        <v>Evento de entrega de diplomas de conclusão de curso</v>
      </c>
      <c r="B30" s="42" t="str">
        <f>'ETAPA 2. IDENTIFICAÇÃO DE EVENT'!B30</f>
        <v/>
      </c>
      <c r="C30" s="42" t="str">
        <f>'ETAPA 2. IDENTIFICAÇÃO DE EVENT'!C30</f>
        <v/>
      </c>
      <c r="D30" s="40"/>
      <c r="E30" s="42"/>
    </row>
    <row r="31" ht="15.75" customHeight="1">
      <c r="A31" s="42" t="str">
        <f>'ETAPA 2. IDENTIFICAÇÃO DE EVENT'!A31</f>
        <v>Evento de entrega de diplomas de conclusão de curso</v>
      </c>
      <c r="B31" s="42" t="str">
        <f>'ETAPA 2. IDENTIFICAÇÃO DE EVENT'!B31</f>
        <v/>
      </c>
      <c r="C31" s="42" t="str">
        <f>'ETAPA 2. IDENTIFICAÇÃO DE EVENT'!C31</f>
        <v/>
      </c>
      <c r="D31" s="40"/>
      <c r="E31" s="42"/>
    </row>
    <row r="32" ht="15.75" customHeight="1">
      <c r="A32" s="42" t="str">
        <f>'ETAPA 2. IDENTIFICAÇÃO DE EVENT'!A32</f>
        <v>Evento de entrega de diplomas de conclusão de curso</v>
      </c>
      <c r="B32" s="42" t="str">
        <f>'ETAPA 2. IDENTIFICAÇÃO DE EVENT'!B32</f>
        <v/>
      </c>
      <c r="C32" s="42" t="str">
        <f>'ETAPA 2. IDENTIFICAÇÃO DE EVENT'!C32</f>
        <v/>
      </c>
      <c r="D32" s="40"/>
      <c r="E32" s="42"/>
    </row>
    <row r="33" ht="15.75" customHeight="1">
      <c r="A33" s="42" t="str">
        <f>'ETAPA 2. IDENTIFICAÇÃO DE EVENT'!A33</f>
        <v>Evento de entrega de diplomas de conclusão de curso</v>
      </c>
      <c r="B33" s="42" t="str">
        <f>'ETAPA 2. IDENTIFICAÇÃO DE EVENT'!B33</f>
        <v/>
      </c>
      <c r="C33" s="42" t="str">
        <f>'ETAPA 2. IDENTIFICAÇÃO DE EVENT'!C33</f>
        <v/>
      </c>
      <c r="D33" s="40"/>
      <c r="E33" s="42"/>
    </row>
    <row r="34" ht="15.75" customHeight="1">
      <c r="A34" s="42" t="str">
        <f>'ETAPA 2. IDENTIFICAÇÃO DE EVENT'!A34</f>
        <v>Evento de entrega de diplomas de conclusão de curso</v>
      </c>
      <c r="B34" s="42" t="str">
        <f>'ETAPA 2. IDENTIFICAÇÃO DE EVENT'!B34</f>
        <v/>
      </c>
      <c r="C34" s="42" t="str">
        <f>'ETAPA 2. IDENTIFICAÇÃO DE EVENT'!C34</f>
        <v/>
      </c>
      <c r="D34" s="40"/>
      <c r="E34" s="42"/>
    </row>
    <row r="35" ht="15.75" customHeight="1">
      <c r="A35" s="42" t="str">
        <f>'ETAPA 2. IDENTIFICAÇÃO DE EVENT'!A35</f>
        <v>Evento de entrega de diplomas de conclusão de curso</v>
      </c>
      <c r="B35" s="42" t="str">
        <f>'ETAPA 2. IDENTIFICAÇÃO DE EVENT'!B35</f>
        <v/>
      </c>
      <c r="C35" s="42" t="str">
        <f>'ETAPA 2. IDENTIFICAÇÃO DE EVENT'!C35</f>
        <v/>
      </c>
      <c r="D35" s="40"/>
      <c r="E35" s="42"/>
    </row>
    <row r="36" ht="15.75" customHeight="1">
      <c r="A36" s="42" t="str">
        <f>'ETAPA 2. IDENTIFICAÇÃO DE EVENT'!A36</f>
        <v>Evento de entrega de diplomas de conclusão de curso</v>
      </c>
      <c r="B36" s="42" t="str">
        <f>'ETAPA 2. IDENTIFICAÇÃO DE EVENT'!B36</f>
        <v/>
      </c>
      <c r="C36" s="42" t="str">
        <f>'ETAPA 2. IDENTIFICAÇÃO DE EVENT'!C36</f>
        <v/>
      </c>
      <c r="D36" s="40"/>
      <c r="E36" s="42"/>
    </row>
    <row r="37" ht="15.75" customHeight="1">
      <c r="A37" s="42" t="str">
        <f>'ETAPA 2. IDENTIFICAÇÃO DE EVENT'!A37</f>
        <v>Evento de entrega de diplomas de conclusão de curso</v>
      </c>
      <c r="B37" s="42" t="str">
        <f>'ETAPA 2. IDENTIFICAÇÃO DE EVENT'!B37</f>
        <v/>
      </c>
      <c r="C37" s="42" t="str">
        <f>'ETAPA 2. IDENTIFICAÇÃO DE EVENT'!C37</f>
        <v/>
      </c>
      <c r="D37" s="40"/>
      <c r="E37" s="42"/>
    </row>
    <row r="38" ht="15.75" customHeight="1">
      <c r="A38" s="42" t="str">
        <f>'ETAPA 2. IDENTIFICAÇÃO DE EVENT'!A38</f>
        <v>Evento de entrega de diplomas de conclusão de curso</v>
      </c>
      <c r="B38" s="42" t="str">
        <f>'ETAPA 2. IDENTIFICAÇÃO DE EVENT'!B38</f>
        <v/>
      </c>
      <c r="C38" s="42" t="str">
        <f>'ETAPA 2. IDENTIFICAÇÃO DE EVENT'!C38</f>
        <v/>
      </c>
      <c r="D38" s="40"/>
      <c r="E38" s="42"/>
    </row>
    <row r="39" ht="15.75" customHeight="1">
      <c r="A39" s="42" t="str">
        <f>'ETAPA 2. IDENTIFICAÇÃO DE EVENT'!A39</f>
        <v>Evento de entrega de diplomas de conclusão de curso</v>
      </c>
      <c r="B39" s="42" t="str">
        <f>'ETAPA 2. IDENTIFICAÇÃO DE EVENT'!B39</f>
        <v/>
      </c>
      <c r="C39" s="42" t="str">
        <f>'ETAPA 2. IDENTIFICAÇÃO DE EVENT'!C39</f>
        <v/>
      </c>
      <c r="D39" s="40"/>
      <c r="E39" s="42"/>
    </row>
    <row r="40" ht="15.75" customHeight="1">
      <c r="A40" s="42" t="str">
        <f>'ETAPA 2. IDENTIFICAÇÃO DE EVENT'!A40</f>
        <v>Evento de entrega de diplomas de conclusão de curso</v>
      </c>
      <c r="B40" s="42" t="str">
        <f>'ETAPA 2. IDENTIFICAÇÃO DE EVENT'!B40</f>
        <v/>
      </c>
      <c r="C40" s="42" t="str">
        <f>'ETAPA 2. IDENTIFICAÇÃO DE EVENT'!C40</f>
        <v/>
      </c>
      <c r="D40" s="40"/>
      <c r="E40" s="42"/>
    </row>
    <row r="41" ht="15.75" customHeight="1">
      <c r="A41" s="42" t="str">
        <f>'ETAPA 2. IDENTIFICAÇÃO DE EVENT'!A41</f>
        <v>Evento de entrega de diplomas de conclusão de curso</v>
      </c>
      <c r="B41" s="42" t="str">
        <f>'ETAPA 2. IDENTIFICAÇÃO DE EVENT'!B41</f>
        <v/>
      </c>
      <c r="C41" s="42" t="str">
        <f>'ETAPA 2. IDENTIFICAÇÃO DE EVENT'!C41</f>
        <v/>
      </c>
      <c r="D41" s="40"/>
      <c r="E41" s="42"/>
    </row>
    <row r="42" ht="15.75" customHeight="1">
      <c r="A42" s="42" t="str">
        <f>'ETAPA 2. IDENTIFICAÇÃO DE EVENT'!A42</f>
        <v>Evento de entrega de diplomas de conclusão de curso</v>
      </c>
      <c r="B42" s="42" t="str">
        <f>'ETAPA 2. IDENTIFICAÇÃO DE EVENT'!B42</f>
        <v/>
      </c>
      <c r="C42" s="42" t="str">
        <f>'ETAPA 2. IDENTIFICAÇÃO DE EVENT'!C42</f>
        <v/>
      </c>
      <c r="D42" s="40"/>
      <c r="E42" s="42"/>
    </row>
    <row r="43" ht="15.75" customHeight="1">
      <c r="A43" s="42" t="str">
        <f>'ETAPA 2. IDENTIFICAÇÃO DE EVENT'!A43</f>
        <v/>
      </c>
      <c r="B43" s="42" t="str">
        <f>'ETAPA 2. IDENTIFICAÇÃO DE EVENT'!B43</f>
        <v/>
      </c>
      <c r="C43" s="42" t="str">
        <f>'ETAPA 2. IDENTIFICAÇÃO DE EVENT'!C43</f>
        <v/>
      </c>
      <c r="D43" s="40"/>
      <c r="E43" s="42"/>
    </row>
    <row r="44" ht="15.75" customHeight="1">
      <c r="A44" s="42" t="str">
        <f>'ETAPA 2. IDENTIFICAÇÃO DE EVENT'!A44</f>
        <v/>
      </c>
      <c r="B44" s="42" t="str">
        <f>'ETAPA 2. IDENTIFICAÇÃO DE EVENT'!B44</f>
        <v/>
      </c>
      <c r="C44" s="42" t="str">
        <f>'ETAPA 2. IDENTIFICAÇÃO DE EVENT'!C44</f>
        <v/>
      </c>
      <c r="D44" s="40"/>
      <c r="E44" s="42"/>
    </row>
    <row r="45" ht="15.75" customHeight="1">
      <c r="A45" s="42" t="str">
        <f>'ETAPA 2. IDENTIFICAÇÃO DE EVENT'!A45</f>
        <v/>
      </c>
      <c r="B45" s="42" t="str">
        <f>'ETAPA 2. IDENTIFICAÇÃO DE EVENT'!B45</f>
        <v/>
      </c>
      <c r="C45" s="42" t="str">
        <f>'ETAPA 2. IDENTIFICAÇÃO DE EVENT'!C45</f>
        <v/>
      </c>
      <c r="D45" s="40"/>
      <c r="E45" s="42"/>
    </row>
    <row r="46" ht="15.75" customHeight="1">
      <c r="A46" s="42" t="str">
        <f>'ETAPA 2. IDENTIFICAÇÃO DE EVENT'!A46</f>
        <v/>
      </c>
      <c r="B46" s="42" t="str">
        <f>'ETAPA 2. IDENTIFICAÇÃO DE EVENT'!B46</f>
        <v/>
      </c>
      <c r="C46" s="42" t="str">
        <f>'ETAPA 2. IDENTIFICAÇÃO DE EVENT'!C46</f>
        <v/>
      </c>
      <c r="D46" s="40"/>
      <c r="E46" s="42"/>
    </row>
    <row r="47" ht="15.75" customHeight="1">
      <c r="A47" s="42" t="str">
        <f>'ETAPA 2. IDENTIFICAÇÃO DE EVENT'!A47</f>
        <v/>
      </c>
      <c r="B47" s="42" t="str">
        <f>'ETAPA 2. IDENTIFICAÇÃO DE EVENT'!B47</f>
        <v/>
      </c>
      <c r="C47" s="42" t="str">
        <f>'ETAPA 2. IDENTIFICAÇÃO DE EVENT'!C47</f>
        <v/>
      </c>
      <c r="D47" s="40"/>
      <c r="E47" s="42"/>
    </row>
    <row r="48" ht="15.75" customHeight="1">
      <c r="A48" s="42" t="str">
        <f>'ETAPA 2. IDENTIFICAÇÃO DE EVENT'!A48</f>
        <v/>
      </c>
      <c r="B48" s="42" t="str">
        <f>'ETAPA 2. IDENTIFICAÇÃO DE EVENT'!B48</f>
        <v/>
      </c>
      <c r="C48" s="42" t="str">
        <f>'ETAPA 2. IDENTIFICAÇÃO DE EVENT'!C48</f>
        <v/>
      </c>
      <c r="D48" s="40"/>
      <c r="E48" s="42"/>
    </row>
    <row r="49" ht="15.75" customHeight="1">
      <c r="A49" s="42" t="str">
        <f>'ETAPA 2. IDENTIFICAÇÃO DE EVENT'!A49</f>
        <v/>
      </c>
      <c r="B49" s="42" t="str">
        <f>'ETAPA 2. IDENTIFICAÇÃO DE EVENT'!B49</f>
        <v/>
      </c>
      <c r="C49" s="42" t="str">
        <f>'ETAPA 2. IDENTIFICAÇÃO DE EVENT'!C49</f>
        <v/>
      </c>
      <c r="D49" s="40"/>
      <c r="E49" s="42"/>
    </row>
    <row r="50" ht="15.75" customHeight="1">
      <c r="A50" s="42" t="str">
        <f>'ETAPA 2. IDENTIFICAÇÃO DE EVENT'!A50</f>
        <v/>
      </c>
      <c r="B50" s="42" t="str">
        <f>'ETAPA 2. IDENTIFICAÇÃO DE EVENT'!B50</f>
        <v/>
      </c>
      <c r="C50" s="42" t="str">
        <f>'ETAPA 2. IDENTIFICAÇÃO DE EVENT'!C50</f>
        <v/>
      </c>
      <c r="D50" s="40"/>
      <c r="E50" s="42"/>
    </row>
    <row r="51" ht="15.75" customHeight="1">
      <c r="A51" s="42" t="str">
        <f>'ETAPA 2. IDENTIFICAÇÃO DE EVENT'!A51</f>
        <v/>
      </c>
      <c r="B51" s="42" t="str">
        <f>'ETAPA 2. IDENTIFICAÇÃO DE EVENT'!B51</f>
        <v/>
      </c>
      <c r="C51" s="42" t="str">
        <f>'ETAPA 2. IDENTIFICAÇÃO DE EVENT'!C51</f>
        <v/>
      </c>
      <c r="D51" s="40"/>
      <c r="E51" s="42"/>
    </row>
    <row r="52" ht="15.75" customHeight="1">
      <c r="A52" s="42" t="str">
        <f>'ETAPA 2. IDENTIFICAÇÃO DE EVENT'!A52</f>
        <v/>
      </c>
      <c r="B52" s="42" t="str">
        <f>'ETAPA 2. IDENTIFICAÇÃO DE EVENT'!B52</f>
        <v/>
      </c>
      <c r="C52" s="42" t="str">
        <f>'ETAPA 2. IDENTIFICAÇÃO DE EVENT'!C52</f>
        <v/>
      </c>
      <c r="D52" s="40"/>
      <c r="E52" s="42"/>
    </row>
    <row r="53" ht="15.75" customHeight="1">
      <c r="A53" s="42" t="str">
        <f>'ETAPA 2. IDENTIFICAÇÃO DE EVENT'!A53</f>
        <v/>
      </c>
      <c r="B53" s="42" t="str">
        <f>'ETAPA 2. IDENTIFICAÇÃO DE EVENT'!B53</f>
        <v/>
      </c>
      <c r="C53" s="42" t="str">
        <f>'ETAPA 2. IDENTIFICAÇÃO DE EVENT'!C53</f>
        <v/>
      </c>
      <c r="D53" s="40"/>
      <c r="E53" s="42"/>
    </row>
    <row r="54" ht="15.75" customHeight="1">
      <c r="A54" s="42" t="str">
        <f>'ETAPA 2. IDENTIFICAÇÃO DE EVENT'!A54</f>
        <v/>
      </c>
      <c r="B54" s="42" t="str">
        <f>'ETAPA 2. IDENTIFICAÇÃO DE EVENT'!B54</f>
        <v/>
      </c>
      <c r="C54" s="42" t="str">
        <f>'ETAPA 2. IDENTIFICAÇÃO DE EVENT'!C54</f>
        <v/>
      </c>
      <c r="D54" s="40"/>
      <c r="E54" s="42"/>
    </row>
    <row r="55" ht="15.75" customHeight="1">
      <c r="A55" s="42" t="str">
        <f>'ETAPA 2. IDENTIFICAÇÃO DE EVENT'!A55</f>
        <v/>
      </c>
      <c r="B55" s="42" t="str">
        <f>'ETAPA 2. IDENTIFICAÇÃO DE EVENT'!B55</f>
        <v/>
      </c>
      <c r="C55" s="42" t="str">
        <f>'ETAPA 2. IDENTIFICAÇÃO DE EVENT'!C55</f>
        <v/>
      </c>
      <c r="D55" s="40"/>
      <c r="E55" s="42"/>
    </row>
    <row r="56" ht="15.75" customHeight="1">
      <c r="A56" s="42" t="str">
        <f>'ETAPA 2. IDENTIFICAÇÃO DE EVENT'!A56</f>
        <v/>
      </c>
      <c r="B56" s="42" t="str">
        <f>'ETAPA 2. IDENTIFICAÇÃO DE EVENT'!B56</f>
        <v/>
      </c>
      <c r="C56" s="42" t="str">
        <f>'ETAPA 2. IDENTIFICAÇÃO DE EVENT'!C56</f>
        <v/>
      </c>
      <c r="D56" s="40"/>
      <c r="E56" s="42"/>
    </row>
    <row r="57" ht="15.75" customHeight="1">
      <c r="A57" s="42" t="str">
        <f>'ETAPA 2. IDENTIFICAÇÃO DE EVENT'!A57</f>
        <v/>
      </c>
      <c r="B57" s="42" t="str">
        <f>'ETAPA 2. IDENTIFICAÇÃO DE EVENT'!B57</f>
        <v/>
      </c>
      <c r="C57" s="42" t="str">
        <f>'ETAPA 2. IDENTIFICAÇÃO DE EVENT'!C57</f>
        <v/>
      </c>
      <c r="D57" s="40"/>
      <c r="E57" s="42"/>
    </row>
    <row r="58" ht="15.75" customHeight="1">
      <c r="A58" s="42" t="str">
        <f>'ETAPA 2. IDENTIFICAÇÃO DE EVENT'!A58</f>
        <v/>
      </c>
      <c r="B58" s="42" t="str">
        <f>'ETAPA 2. IDENTIFICAÇÃO DE EVENT'!B58</f>
        <v/>
      </c>
      <c r="C58" s="42" t="str">
        <f>'ETAPA 2. IDENTIFICAÇÃO DE EVENT'!C58</f>
        <v/>
      </c>
      <c r="D58" s="40"/>
      <c r="E58" s="42"/>
    </row>
    <row r="59" ht="15.75" customHeight="1">
      <c r="A59" s="42" t="str">
        <f>'ETAPA 2. IDENTIFICAÇÃO DE EVENT'!A59</f>
        <v/>
      </c>
      <c r="B59" s="42" t="str">
        <f>'ETAPA 2. IDENTIFICAÇÃO DE EVENT'!B59</f>
        <v/>
      </c>
      <c r="C59" s="42" t="str">
        <f>'ETAPA 2. IDENTIFICAÇÃO DE EVENT'!C59</f>
        <v/>
      </c>
      <c r="D59" s="40"/>
      <c r="E59" s="42"/>
    </row>
    <row r="60" ht="15.75" customHeight="1">
      <c r="A60" s="42" t="str">
        <f>'ETAPA 2. IDENTIFICAÇÃO DE EVENT'!A60</f>
        <v/>
      </c>
      <c r="B60" s="42" t="str">
        <f>'ETAPA 2. IDENTIFICAÇÃO DE EVENT'!B60</f>
        <v/>
      </c>
      <c r="C60" s="42" t="str">
        <f>'ETAPA 2. IDENTIFICAÇÃO DE EVENT'!C60</f>
        <v/>
      </c>
      <c r="D60" s="40"/>
      <c r="E60" s="42"/>
    </row>
    <row r="61" ht="15.75" customHeight="1">
      <c r="A61" s="42" t="str">
        <f>'ETAPA 2. IDENTIFICAÇÃO DE EVENT'!A61</f>
        <v/>
      </c>
      <c r="B61" s="42" t="str">
        <f>'ETAPA 2. IDENTIFICAÇÃO DE EVENT'!B61</f>
        <v/>
      </c>
      <c r="C61" s="42" t="str">
        <f>'ETAPA 2. IDENTIFICAÇÃO DE EVENT'!C61</f>
        <v/>
      </c>
      <c r="D61" s="40"/>
      <c r="E61" s="42"/>
    </row>
    <row r="62" ht="15.75" customHeight="1">
      <c r="A62" s="42" t="str">
        <f>'ETAPA 2. IDENTIFICAÇÃO DE EVENT'!A62</f>
        <v/>
      </c>
      <c r="B62" s="42" t="str">
        <f>'ETAPA 2. IDENTIFICAÇÃO DE EVENT'!B62</f>
        <v/>
      </c>
      <c r="C62" s="42" t="str">
        <f>'ETAPA 2. IDENTIFICAÇÃO DE EVENT'!C62</f>
        <v/>
      </c>
      <c r="D62" s="40"/>
      <c r="E62" s="42"/>
    </row>
    <row r="63" ht="15.75" customHeight="1">
      <c r="A63" s="42" t="str">
        <f>'ETAPA 2. IDENTIFICAÇÃO DE EVENT'!A63</f>
        <v/>
      </c>
      <c r="B63" s="42" t="str">
        <f>'ETAPA 2. IDENTIFICAÇÃO DE EVENT'!B63</f>
        <v/>
      </c>
      <c r="C63" s="42" t="str">
        <f>'ETAPA 2. IDENTIFICAÇÃO DE EVENT'!C63</f>
        <v/>
      </c>
      <c r="D63" s="40"/>
      <c r="E63" s="42"/>
    </row>
    <row r="64" ht="15.75" customHeight="1">
      <c r="A64" s="42" t="str">
        <f>'ETAPA 2. IDENTIFICAÇÃO DE EVENT'!A64</f>
        <v/>
      </c>
      <c r="B64" s="42" t="str">
        <f>'ETAPA 2. IDENTIFICAÇÃO DE EVENT'!B64</f>
        <v/>
      </c>
      <c r="C64" s="42" t="str">
        <f>'ETAPA 2. IDENTIFICAÇÃO DE EVENT'!C64</f>
        <v/>
      </c>
      <c r="D64" s="40"/>
      <c r="E64" s="42"/>
    </row>
    <row r="65" ht="15.75" customHeight="1">
      <c r="A65" s="42" t="str">
        <f>'ETAPA 2. IDENTIFICAÇÃO DE EVENT'!A65</f>
        <v/>
      </c>
      <c r="B65" s="42" t="str">
        <f>'ETAPA 2. IDENTIFICAÇÃO DE EVENT'!B65</f>
        <v/>
      </c>
      <c r="C65" s="42" t="str">
        <f>'ETAPA 2. IDENTIFICAÇÃO DE EVENT'!C65</f>
        <v/>
      </c>
      <c r="D65" s="40"/>
      <c r="E65" s="42"/>
    </row>
    <row r="66" ht="15.75" customHeight="1">
      <c r="A66" s="42" t="str">
        <f>'ETAPA 2. IDENTIFICAÇÃO DE EVENT'!A66</f>
        <v/>
      </c>
      <c r="B66" s="42" t="str">
        <f>'ETAPA 2. IDENTIFICAÇÃO DE EVENT'!B66</f>
        <v/>
      </c>
      <c r="C66" s="42" t="str">
        <f>'ETAPA 2. IDENTIFICAÇÃO DE EVENT'!C66</f>
        <v/>
      </c>
      <c r="D66" s="40"/>
      <c r="E66" s="42"/>
    </row>
    <row r="67" ht="15.75" customHeight="1">
      <c r="A67" s="42" t="str">
        <f>'ETAPA 2. IDENTIFICAÇÃO DE EVENT'!A67</f>
        <v/>
      </c>
      <c r="B67" s="42" t="str">
        <f>'ETAPA 2. IDENTIFICAÇÃO DE EVENT'!B67</f>
        <v/>
      </c>
      <c r="C67" s="42" t="str">
        <f>'ETAPA 2. IDENTIFICAÇÃO DE EVENT'!C67</f>
        <v/>
      </c>
      <c r="D67" s="40"/>
      <c r="E67" s="42"/>
    </row>
    <row r="68" ht="15.75" customHeight="1">
      <c r="A68" s="42" t="str">
        <f>'ETAPA 2. IDENTIFICAÇÃO DE EVENT'!A68</f>
        <v/>
      </c>
      <c r="B68" s="42" t="str">
        <f>'ETAPA 2. IDENTIFICAÇÃO DE EVENT'!B68</f>
        <v/>
      </c>
      <c r="C68" s="42" t="str">
        <f>'ETAPA 2. IDENTIFICAÇÃO DE EVENT'!C68</f>
        <v/>
      </c>
      <c r="D68" s="40"/>
      <c r="E68" s="42"/>
    </row>
    <row r="69" ht="15.75" customHeight="1">
      <c r="A69" s="42" t="str">
        <f>'ETAPA 2. IDENTIFICAÇÃO DE EVENT'!A69</f>
        <v/>
      </c>
      <c r="B69" s="42" t="str">
        <f>'ETAPA 2. IDENTIFICAÇÃO DE EVENT'!B69</f>
        <v/>
      </c>
      <c r="C69" s="42" t="str">
        <f>'ETAPA 2. IDENTIFICAÇÃO DE EVENT'!C69</f>
        <v/>
      </c>
      <c r="D69" s="40"/>
      <c r="E69" s="42"/>
    </row>
    <row r="70" ht="15.75" customHeight="1">
      <c r="A70" s="42" t="str">
        <f>'ETAPA 2. IDENTIFICAÇÃO DE EVENT'!A70</f>
        <v/>
      </c>
      <c r="B70" s="42" t="str">
        <f>'ETAPA 2. IDENTIFICAÇÃO DE EVENT'!B70</f>
        <v/>
      </c>
      <c r="C70" s="42" t="str">
        <f>'ETAPA 2. IDENTIFICAÇÃO DE EVENT'!C70</f>
        <v/>
      </c>
      <c r="D70" s="40"/>
      <c r="E70" s="42"/>
    </row>
    <row r="71" ht="15.75" customHeight="1">
      <c r="A71" s="42" t="str">
        <f>'ETAPA 2. IDENTIFICAÇÃO DE EVENT'!A71</f>
        <v/>
      </c>
      <c r="B71" s="42" t="str">
        <f>'ETAPA 2. IDENTIFICAÇÃO DE EVENT'!B71</f>
        <v/>
      </c>
      <c r="C71" s="42" t="str">
        <f>'ETAPA 2. IDENTIFICAÇÃO DE EVENT'!C71</f>
        <v/>
      </c>
      <c r="D71" s="40"/>
      <c r="E71" s="42"/>
    </row>
    <row r="72" ht="15.75" customHeight="1">
      <c r="A72" s="42" t="str">
        <f>'ETAPA 2. IDENTIFICAÇÃO DE EVENT'!A72</f>
        <v/>
      </c>
      <c r="B72" s="42" t="str">
        <f>'ETAPA 2. IDENTIFICAÇÃO DE EVENT'!B72</f>
        <v/>
      </c>
      <c r="C72" s="42" t="str">
        <f>'ETAPA 2. IDENTIFICAÇÃO DE EVENT'!C72</f>
        <v/>
      </c>
      <c r="D72" s="40"/>
      <c r="E72" s="42"/>
    </row>
    <row r="73" ht="15.75" customHeight="1">
      <c r="A73" s="42" t="str">
        <f>'ETAPA 2. IDENTIFICAÇÃO DE EVENT'!A73</f>
        <v/>
      </c>
      <c r="B73" s="42" t="str">
        <f>'ETAPA 2. IDENTIFICAÇÃO DE EVENT'!B73</f>
        <v/>
      </c>
      <c r="C73" s="42" t="str">
        <f>'ETAPA 2. IDENTIFICAÇÃO DE EVENT'!C73</f>
        <v/>
      </c>
      <c r="D73" s="40"/>
      <c r="E73" s="42"/>
    </row>
    <row r="74" ht="15.75" customHeight="1">
      <c r="A74" s="42" t="str">
        <f>'ETAPA 2. IDENTIFICAÇÃO DE EVENT'!A74</f>
        <v/>
      </c>
      <c r="B74" s="42" t="str">
        <f>'ETAPA 2. IDENTIFICAÇÃO DE EVENT'!B74</f>
        <v/>
      </c>
      <c r="C74" s="42" t="str">
        <f>'ETAPA 2. IDENTIFICAÇÃO DE EVENT'!C74</f>
        <v/>
      </c>
      <c r="D74" s="40"/>
      <c r="E74" s="42"/>
    </row>
    <row r="75" ht="15.75" customHeight="1">
      <c r="A75" s="42" t="str">
        <f>'ETAPA 2. IDENTIFICAÇÃO DE EVENT'!A75</f>
        <v/>
      </c>
      <c r="B75" s="42" t="str">
        <f>'ETAPA 2. IDENTIFICAÇÃO DE EVENT'!B75</f>
        <v/>
      </c>
      <c r="C75" s="42" t="str">
        <f>'ETAPA 2. IDENTIFICAÇÃO DE EVENT'!C75</f>
        <v/>
      </c>
      <c r="D75" s="40"/>
      <c r="E75" s="42"/>
    </row>
    <row r="76" ht="15.75" customHeight="1">
      <c r="A76" s="42" t="str">
        <f>'ETAPA 2. IDENTIFICAÇÃO DE EVENT'!A76</f>
        <v/>
      </c>
      <c r="B76" s="42" t="str">
        <f>'ETAPA 2. IDENTIFICAÇÃO DE EVENT'!B76</f>
        <v/>
      </c>
      <c r="C76" s="42" t="str">
        <f>'ETAPA 2. IDENTIFICAÇÃO DE EVENT'!C76</f>
        <v/>
      </c>
      <c r="D76" s="40"/>
      <c r="E76" s="42"/>
    </row>
    <row r="77" ht="15.75" customHeight="1">
      <c r="A77" s="42" t="str">
        <f>'ETAPA 2. IDENTIFICAÇÃO DE EVENT'!A77</f>
        <v/>
      </c>
      <c r="B77" s="42" t="str">
        <f>'ETAPA 2. IDENTIFICAÇÃO DE EVENT'!B77</f>
        <v/>
      </c>
      <c r="C77" s="42" t="str">
        <f>'ETAPA 2. IDENTIFICAÇÃO DE EVENT'!C77</f>
        <v/>
      </c>
      <c r="D77" s="40"/>
      <c r="E77" s="42"/>
    </row>
    <row r="78" ht="15.75" customHeight="1">
      <c r="A78" s="42" t="str">
        <f>'ETAPA 2. IDENTIFICAÇÃO DE EVENT'!A78</f>
        <v/>
      </c>
      <c r="B78" s="42" t="str">
        <f>'ETAPA 2. IDENTIFICAÇÃO DE EVENT'!B78</f>
        <v/>
      </c>
      <c r="C78" s="42" t="str">
        <f>'ETAPA 2. IDENTIFICAÇÃO DE EVENT'!C78</f>
        <v/>
      </c>
      <c r="D78" s="40"/>
      <c r="E78" s="42"/>
    </row>
    <row r="79" ht="15.75" customHeight="1">
      <c r="A79" s="42" t="str">
        <f>'ETAPA 2. IDENTIFICAÇÃO DE EVENT'!A79</f>
        <v/>
      </c>
      <c r="B79" s="42" t="str">
        <f>'ETAPA 2. IDENTIFICAÇÃO DE EVENT'!B79</f>
        <v/>
      </c>
      <c r="C79" s="42" t="str">
        <f>'ETAPA 2. IDENTIFICAÇÃO DE EVENT'!C79</f>
        <v/>
      </c>
      <c r="D79" s="40"/>
      <c r="E79" s="42"/>
    </row>
    <row r="80" ht="15.75" customHeight="1">
      <c r="A80" s="42" t="str">
        <f>'ETAPA 2. IDENTIFICAÇÃO DE EVENT'!A80</f>
        <v/>
      </c>
      <c r="B80" s="42" t="str">
        <f>'ETAPA 2. IDENTIFICAÇÃO DE EVENT'!B80</f>
        <v/>
      </c>
      <c r="C80" s="42" t="str">
        <f>'ETAPA 2. IDENTIFICAÇÃO DE EVENT'!C80</f>
        <v/>
      </c>
      <c r="D80" s="40"/>
      <c r="E80" s="42"/>
    </row>
    <row r="81" ht="15.75" customHeight="1">
      <c r="A81" s="42" t="str">
        <f>'ETAPA 2. IDENTIFICAÇÃO DE EVENT'!A81</f>
        <v/>
      </c>
      <c r="B81" s="42" t="str">
        <f>'ETAPA 2. IDENTIFICAÇÃO DE EVENT'!B81</f>
        <v/>
      </c>
      <c r="C81" s="42" t="str">
        <f>'ETAPA 2. IDENTIFICAÇÃO DE EVENT'!C81</f>
        <v/>
      </c>
      <c r="D81" s="40"/>
      <c r="E81" s="42"/>
    </row>
    <row r="82" ht="15.75" customHeight="1">
      <c r="A82" s="42" t="str">
        <f>'ETAPA 2. IDENTIFICAÇÃO DE EVENT'!A82</f>
        <v/>
      </c>
      <c r="B82" s="42" t="str">
        <f>'ETAPA 2. IDENTIFICAÇÃO DE EVENT'!B82</f>
        <v/>
      </c>
      <c r="C82" s="42" t="str">
        <f>'ETAPA 2. IDENTIFICAÇÃO DE EVENT'!C82</f>
        <v/>
      </c>
      <c r="D82" s="40"/>
      <c r="E82" s="42"/>
    </row>
    <row r="83" ht="15.75" customHeight="1">
      <c r="A83" s="42" t="str">
        <f>'ETAPA 2. IDENTIFICAÇÃO DE EVENT'!A83</f>
        <v/>
      </c>
      <c r="B83" s="42" t="str">
        <f>'ETAPA 2. IDENTIFICAÇÃO DE EVENT'!B83</f>
        <v/>
      </c>
      <c r="C83" s="42" t="str">
        <f>'ETAPA 2. IDENTIFICAÇÃO DE EVENT'!C83</f>
        <v/>
      </c>
      <c r="D83" s="40"/>
      <c r="E83" s="42"/>
    </row>
    <row r="84" ht="15.75" customHeight="1">
      <c r="A84" s="42" t="str">
        <f>'ETAPA 2. IDENTIFICAÇÃO DE EVENT'!A84</f>
        <v/>
      </c>
      <c r="B84" s="42" t="str">
        <f>'ETAPA 2. IDENTIFICAÇÃO DE EVENT'!B84</f>
        <v/>
      </c>
      <c r="C84" s="42" t="str">
        <f>'ETAPA 2. IDENTIFICAÇÃO DE EVENT'!C84</f>
        <v/>
      </c>
      <c r="D84" s="40"/>
      <c r="E84" s="42"/>
    </row>
    <row r="85" ht="15.75" customHeight="1">
      <c r="A85" s="42" t="str">
        <f>'ETAPA 2. IDENTIFICAÇÃO DE EVENT'!A85</f>
        <v/>
      </c>
      <c r="B85" s="42" t="str">
        <f>'ETAPA 2. IDENTIFICAÇÃO DE EVENT'!B85</f>
        <v/>
      </c>
      <c r="C85" s="42" t="str">
        <f>'ETAPA 2. IDENTIFICAÇÃO DE EVENT'!C85</f>
        <v/>
      </c>
      <c r="D85" s="40"/>
      <c r="E85" s="42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>
    <dataValidation type="list" allowBlank="1" showErrorMessage="1" sqref="D3:D85">
      <formula1>"Aceitar,Mitigar,Compartilhar,Evitar"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16.13"/>
    <col customWidth="1" min="3" max="3" width="16.75"/>
    <col customWidth="1" min="4" max="4" width="19.38"/>
    <col customWidth="1" min="5" max="5" width="21.25"/>
    <col customWidth="1" min="6" max="6" width="19.38"/>
    <col customWidth="1" min="7" max="7" width="30.88"/>
    <col customWidth="1" min="8" max="8" width="19.88"/>
    <col customWidth="1" min="9" max="9" width="22.25"/>
    <col customWidth="1" min="10" max="10" width="26.75"/>
    <col customWidth="1" min="11" max="11" width="20.88"/>
  </cols>
  <sheetData>
    <row r="1" ht="24.0" customHeight="1">
      <c r="A1" s="54" t="s">
        <v>124</v>
      </c>
      <c r="B1" s="20"/>
      <c r="C1" s="20"/>
      <c r="D1" s="20"/>
      <c r="E1" s="20"/>
      <c r="F1" s="20"/>
      <c r="G1" s="20"/>
      <c r="H1" s="2"/>
      <c r="I1" s="54" t="s">
        <v>125</v>
      </c>
      <c r="J1" s="20"/>
      <c r="K1" s="2"/>
    </row>
    <row r="2">
      <c r="A2" s="55" t="s">
        <v>65</v>
      </c>
      <c r="B2" s="55" t="s">
        <v>108</v>
      </c>
      <c r="C2" s="55" t="s">
        <v>126</v>
      </c>
      <c r="D2" s="55" t="s">
        <v>127</v>
      </c>
      <c r="E2" s="55" t="s">
        <v>128</v>
      </c>
      <c r="F2" s="56" t="s">
        <v>129</v>
      </c>
      <c r="G2" s="56" t="s">
        <v>130</v>
      </c>
      <c r="H2" s="56" t="s">
        <v>131</v>
      </c>
      <c r="I2" s="55" t="s">
        <v>132</v>
      </c>
      <c r="J2" s="55" t="s">
        <v>133</v>
      </c>
      <c r="K2" s="56" t="s">
        <v>134</v>
      </c>
    </row>
    <row r="3" ht="15.75" customHeight="1">
      <c r="A3" s="40" t="str">
        <f>'ETAPA 2. IDENTIFICAÇÃO DE EVENT'!C3</f>
        <v>Imediato</v>
      </c>
      <c r="B3" s="40" t="str">
        <f>'ETAPA 4. RESPOSTA AOS RISCOS'!D3</f>
        <v>Mitigar</v>
      </c>
      <c r="C3" s="42"/>
      <c r="D3" s="57"/>
      <c r="E3" s="57"/>
      <c r="F3" s="41"/>
      <c r="G3" s="42"/>
      <c r="H3" s="42"/>
      <c r="I3" s="42"/>
      <c r="J3" s="42"/>
      <c r="K3" s="42"/>
    </row>
    <row r="4" ht="15.75" customHeight="1">
      <c r="A4" s="40" t="str">
        <f>'ETAPA 2. IDENTIFICAÇÃO DE EVENT'!C4</f>
        <v>Entrega de diploma com dados incorretos (ex: nome do curso, data, nome do aluno).</v>
      </c>
      <c r="B4" s="40" t="str">
        <f>'ETAPA 4. RESPOSTA AOS RISCOS'!D4</f>
        <v>Mitigar</v>
      </c>
      <c r="C4" s="46" t="s">
        <v>135</v>
      </c>
      <c r="D4" s="58">
        <v>46027.0</v>
      </c>
      <c r="E4" s="58">
        <v>46045.0</v>
      </c>
      <c r="F4" s="41" t="s">
        <v>136</v>
      </c>
      <c r="G4" s="46" t="s">
        <v>137</v>
      </c>
      <c r="H4" s="46" t="s">
        <v>138</v>
      </c>
      <c r="I4" s="46" t="s">
        <v>139</v>
      </c>
      <c r="J4" s="46" t="s">
        <v>140</v>
      </c>
      <c r="K4" s="46" t="s">
        <v>135</v>
      </c>
    </row>
    <row r="5" ht="15.75" customHeight="1">
      <c r="A5" s="40" t="str">
        <f>'ETAPA 2. IDENTIFICAÇÃO DE EVENT'!C5</f>
        <v>Não comparecimento (ausência) da autoridade máxima (Reitor/Diretor) na data marcada.</v>
      </c>
      <c r="B5" s="40" t="str">
        <f>'ETAPA 4. RESPOSTA AOS RISCOS'!D5</f>
        <v>Aceitar</v>
      </c>
      <c r="C5" s="46" t="s">
        <v>135</v>
      </c>
      <c r="D5" s="58">
        <v>46028.0</v>
      </c>
      <c r="E5" s="58">
        <v>46046.0</v>
      </c>
      <c r="F5" s="41" t="s">
        <v>136</v>
      </c>
      <c r="G5" s="46" t="s">
        <v>141</v>
      </c>
      <c r="H5" s="46" t="s">
        <v>142</v>
      </c>
      <c r="I5" s="46" t="s">
        <v>143</v>
      </c>
      <c r="J5" s="46" t="s">
        <v>144</v>
      </c>
      <c r="K5" s="46" t="s">
        <v>135</v>
      </c>
    </row>
    <row r="6" ht="15.75" customHeight="1">
      <c r="A6" s="40" t="str">
        <f>'ETAPA 2. IDENTIFICAÇÃO DE EVENT'!C6</f>
        <v>Superlotação do local, excedendo a capacidade de segurança e conforto (falha no controle de convites).</v>
      </c>
      <c r="B6" s="40" t="str">
        <f>'ETAPA 4. RESPOSTA AOS RISCOS'!D6</f>
        <v>Evitar</v>
      </c>
      <c r="C6" s="46" t="s">
        <v>135</v>
      </c>
      <c r="D6" s="58">
        <v>46029.0</v>
      </c>
      <c r="E6" s="58">
        <v>46047.0</v>
      </c>
      <c r="F6" s="41" t="s">
        <v>136</v>
      </c>
      <c r="G6" s="46" t="s">
        <v>145</v>
      </c>
      <c r="H6" s="46" t="s">
        <v>146</v>
      </c>
      <c r="I6" s="46" t="s">
        <v>147</v>
      </c>
      <c r="J6" s="46" t="s">
        <v>148</v>
      </c>
      <c r="K6" s="46" t="s">
        <v>135</v>
      </c>
    </row>
    <row r="7" ht="15.75" customHeight="1">
      <c r="A7" s="40" t="str">
        <f>'ETAPA 2. IDENTIFICAÇÃO DE EVENT'!C7</f>
        <v>Entrega do diploma ao formando errado devido à falha de identificação no momento da retirada.</v>
      </c>
      <c r="B7" s="40" t="str">
        <f>'ETAPA 4. RESPOSTA AOS RISCOS'!D7</f>
        <v>Compartilhar</v>
      </c>
      <c r="C7" s="46" t="s">
        <v>135</v>
      </c>
      <c r="D7" s="58">
        <v>46030.0</v>
      </c>
      <c r="E7" s="58">
        <v>46048.0</v>
      </c>
      <c r="F7" s="41" t="s">
        <v>136</v>
      </c>
      <c r="G7" s="46" t="s">
        <v>149</v>
      </c>
      <c r="H7" s="46" t="s">
        <v>150</v>
      </c>
      <c r="I7" s="46" t="s">
        <v>151</v>
      </c>
      <c r="J7" s="46" t="s">
        <v>152</v>
      </c>
      <c r="K7" s="46" t="s">
        <v>135</v>
      </c>
    </row>
    <row r="8" ht="15.75" customHeight="1">
      <c r="A8" s="40" t="str">
        <f>'ETAPA 2. IDENTIFICAÇÃO DE EVENT'!C8</f>
        <v>Tentativa de fraude (colação de grau por procuração falsa ou retirada de diploma por terceiros não autorizados).</v>
      </c>
      <c r="B8" s="40" t="str">
        <f>'ETAPA 4. RESPOSTA AOS RISCOS'!D8</f>
        <v>Mitigar</v>
      </c>
      <c r="C8" s="46" t="s">
        <v>135</v>
      </c>
      <c r="D8" s="58">
        <v>46031.0</v>
      </c>
      <c r="E8" s="58">
        <v>46049.0</v>
      </c>
      <c r="F8" s="41" t="s">
        <v>136</v>
      </c>
      <c r="G8" s="46" t="s">
        <v>153</v>
      </c>
      <c r="H8" s="46" t="s">
        <v>154</v>
      </c>
      <c r="I8" s="46" t="s">
        <v>155</v>
      </c>
      <c r="J8" s="46" t="s">
        <v>156</v>
      </c>
      <c r="K8" s="46" t="s">
        <v>135</v>
      </c>
    </row>
    <row r="9" ht="15.75" customHeight="1">
      <c r="A9" s="40" t="str">
        <f>'ETAPA 2. IDENTIFICAÇÃO DE EVENT'!C9</f>
        <v>Falha técnica nos equipamentos de som ou projeção durante a solenidade (microfones, telões, iluminação).</v>
      </c>
      <c r="B9" s="40" t="str">
        <f>'ETAPA 4. RESPOSTA AOS RISCOS'!D9</f>
        <v>Aceitar</v>
      </c>
      <c r="C9" s="46" t="s">
        <v>135</v>
      </c>
      <c r="D9" s="58">
        <v>46032.0</v>
      </c>
      <c r="E9" s="58">
        <v>46050.0</v>
      </c>
      <c r="F9" s="41" t="s">
        <v>136</v>
      </c>
      <c r="G9" s="46" t="s">
        <v>95</v>
      </c>
      <c r="H9" s="29" t="s">
        <v>157</v>
      </c>
      <c r="I9" s="46" t="s">
        <v>158</v>
      </c>
      <c r="J9" s="46" t="s">
        <v>159</v>
      </c>
      <c r="K9" s="46" t="s">
        <v>135</v>
      </c>
    </row>
    <row r="10" ht="15.75" customHeight="1">
      <c r="A10" s="40" t="str">
        <f>'ETAPA 2. IDENTIFICAÇÃO DE EVENT'!C10</f>
        <v>O número de diplomas prontos para entrega é menor que o número de formandos aptos confirmados.</v>
      </c>
      <c r="B10" s="40" t="str">
        <f>'ETAPA 4. RESPOSTA AOS RISCOS'!D10</f>
        <v>Aceitar</v>
      </c>
      <c r="C10" s="46" t="s">
        <v>135</v>
      </c>
      <c r="D10" s="58">
        <v>46033.0</v>
      </c>
      <c r="E10" s="58">
        <v>46051.0</v>
      </c>
      <c r="F10" s="41" t="s">
        <v>136</v>
      </c>
      <c r="G10" s="46" t="s">
        <v>160</v>
      </c>
      <c r="H10" s="46" t="s">
        <v>161</v>
      </c>
      <c r="I10" s="46" t="s">
        <v>162</v>
      </c>
      <c r="J10" s="46" t="s">
        <v>163</v>
      </c>
      <c r="K10" s="46" t="s">
        <v>135</v>
      </c>
    </row>
    <row r="11" ht="15.75" customHeight="1">
      <c r="A11" s="40" t="str">
        <f>'ETAPA 2. IDENTIFICAÇÃO DE EVENT'!C11</f>
        <v>Divulgação de notícias negativas ou reclamações públicas (ex: em redes sociais) sobre a má organização ou atrasos excessivos.</v>
      </c>
      <c r="B11" s="40" t="str">
        <f>'ETAPA 4. RESPOSTA AOS RISCOS'!D11</f>
        <v>Mitigar</v>
      </c>
      <c r="C11" s="46" t="s">
        <v>135</v>
      </c>
      <c r="D11" s="58">
        <v>46034.0</v>
      </c>
      <c r="E11" s="58">
        <v>46052.0</v>
      </c>
      <c r="F11" s="41" t="s">
        <v>136</v>
      </c>
      <c r="G11" s="46" t="s">
        <v>164</v>
      </c>
      <c r="H11" s="46" t="s">
        <v>165</v>
      </c>
      <c r="I11" s="46" t="s">
        <v>166</v>
      </c>
      <c r="J11" s="46" t="s">
        <v>167</v>
      </c>
      <c r="K11" s="46" t="s">
        <v>135</v>
      </c>
    </row>
    <row r="12" ht="15.75" customHeight="1">
      <c r="A12" s="40" t="str">
        <f>'ETAPA 2. IDENTIFICAÇÃO DE EVENT'!C12</f>
        <v>Ocorrência de acidentes ou incidentes físicos com convidados ou formandos nas dependências do local do evento.</v>
      </c>
      <c r="B12" s="40" t="str">
        <f>'ETAPA 4. RESPOSTA AOS RISCOS'!D12</f>
        <v>Evitar</v>
      </c>
      <c r="C12" s="46" t="s">
        <v>135</v>
      </c>
      <c r="D12" s="58">
        <v>46035.0</v>
      </c>
      <c r="E12" s="58">
        <v>46053.0</v>
      </c>
      <c r="F12" s="41" t="s">
        <v>136</v>
      </c>
      <c r="G12" s="46" t="s">
        <v>168</v>
      </c>
      <c r="H12" s="46" t="s">
        <v>169</v>
      </c>
      <c r="I12" s="46" t="s">
        <v>170</v>
      </c>
      <c r="J12" s="46" t="s">
        <v>171</v>
      </c>
      <c r="K12" s="46" t="s">
        <v>135</v>
      </c>
    </row>
    <row r="13" ht="15.75" customHeight="1">
      <c r="A13" s="40" t="str">
        <f>'ETAPA 2. IDENTIFICAÇÃO DE EVENT'!C13</f>
        <v>Atraso na liberação ou entrega do espaço físico (auditório/teatro) para a montagem no dia do evento.</v>
      </c>
      <c r="B13" s="40" t="str">
        <f>'ETAPA 4. RESPOSTA AOS RISCOS'!D13</f>
        <v>Mitigar</v>
      </c>
      <c r="C13" s="46" t="s">
        <v>135</v>
      </c>
      <c r="D13" s="58">
        <v>46036.0</v>
      </c>
      <c r="E13" s="58">
        <v>46054.0</v>
      </c>
      <c r="F13" s="41" t="s">
        <v>136</v>
      </c>
      <c r="G13" s="46" t="s">
        <v>172</v>
      </c>
      <c r="H13" s="46" t="s">
        <v>173</v>
      </c>
      <c r="I13" s="46" t="s">
        <v>174</v>
      </c>
      <c r="J13" s="46" t="s">
        <v>175</v>
      </c>
      <c r="K13" s="46" t="s">
        <v>135</v>
      </c>
    </row>
    <row r="14" ht="15.75" customHeight="1">
      <c r="A14" s="40" t="str">
        <f>'ETAPA 2. IDENTIFICAÇÃO DE EVENT'!C14</f>
        <v/>
      </c>
      <c r="B14" s="40" t="str">
        <f>'ETAPA 4. RESPOSTA AOS RISCOS'!D14</f>
        <v/>
      </c>
      <c r="C14" s="42"/>
      <c r="D14" s="57"/>
      <c r="E14" s="57"/>
      <c r="F14" s="40"/>
      <c r="G14" s="42"/>
      <c r="H14" s="42"/>
      <c r="I14" s="42"/>
      <c r="J14" s="42"/>
      <c r="K14" s="42"/>
    </row>
    <row r="15" ht="15.75" customHeight="1">
      <c r="A15" s="40" t="str">
        <f>'ETAPA 2. IDENTIFICAÇÃO DE EVENT'!C15</f>
        <v/>
      </c>
      <c r="B15" s="40" t="str">
        <f>'ETAPA 4. RESPOSTA AOS RISCOS'!D15</f>
        <v/>
      </c>
      <c r="C15" s="42"/>
      <c r="D15" s="57"/>
      <c r="E15" s="57"/>
      <c r="F15" s="40"/>
      <c r="G15" s="42"/>
      <c r="H15" s="42"/>
      <c r="I15" s="42"/>
      <c r="J15" s="42"/>
      <c r="K15" s="42"/>
    </row>
    <row r="16" ht="15.75" customHeight="1">
      <c r="A16" s="40" t="str">
        <f>'ETAPA 2. IDENTIFICAÇÃO DE EVENT'!C16</f>
        <v/>
      </c>
      <c r="B16" s="40" t="str">
        <f>'ETAPA 4. RESPOSTA AOS RISCOS'!D16</f>
        <v/>
      </c>
      <c r="C16" s="42"/>
      <c r="D16" s="57"/>
      <c r="E16" s="57"/>
      <c r="F16" s="40"/>
      <c r="G16" s="42"/>
      <c r="H16" s="42"/>
      <c r="I16" s="42"/>
      <c r="J16" s="42"/>
      <c r="K16" s="42"/>
    </row>
    <row r="17" ht="15.75" customHeight="1">
      <c r="A17" s="40" t="str">
        <f>'ETAPA 2. IDENTIFICAÇÃO DE EVENT'!C17</f>
        <v/>
      </c>
      <c r="B17" s="40" t="str">
        <f>'ETAPA 4. RESPOSTA AOS RISCOS'!D17</f>
        <v/>
      </c>
      <c r="C17" s="42"/>
      <c r="D17" s="57"/>
      <c r="E17" s="57"/>
      <c r="F17" s="40"/>
      <c r="G17" s="42"/>
      <c r="H17" s="42"/>
      <c r="I17" s="42"/>
      <c r="J17" s="42"/>
      <c r="K17" s="42"/>
    </row>
    <row r="18" ht="15.75" customHeight="1">
      <c r="A18" s="40" t="str">
        <f>'ETAPA 2. IDENTIFICAÇÃO DE EVENT'!C18</f>
        <v/>
      </c>
      <c r="B18" s="40" t="str">
        <f>'ETAPA 4. RESPOSTA AOS RISCOS'!D18</f>
        <v/>
      </c>
      <c r="C18" s="42"/>
      <c r="D18" s="57"/>
      <c r="E18" s="57"/>
      <c r="F18" s="40"/>
      <c r="G18" s="42"/>
      <c r="H18" s="42"/>
      <c r="I18" s="42"/>
      <c r="J18" s="42"/>
      <c r="K18" s="42"/>
    </row>
    <row r="19" ht="15.75" customHeight="1">
      <c r="A19" s="40" t="str">
        <f>'ETAPA 2. IDENTIFICAÇÃO DE EVENT'!C19</f>
        <v/>
      </c>
      <c r="B19" s="40" t="str">
        <f>'ETAPA 4. RESPOSTA AOS RISCOS'!D19</f>
        <v/>
      </c>
      <c r="C19" s="42"/>
      <c r="D19" s="57"/>
      <c r="E19" s="57"/>
      <c r="F19" s="40"/>
      <c r="G19" s="42"/>
      <c r="H19" s="42"/>
      <c r="I19" s="42"/>
      <c r="J19" s="42"/>
      <c r="K19" s="42"/>
    </row>
    <row r="20" ht="15.75" customHeight="1">
      <c r="A20" s="40" t="str">
        <f>'ETAPA 2. IDENTIFICAÇÃO DE EVENT'!C20</f>
        <v/>
      </c>
      <c r="B20" s="40" t="str">
        <f>'ETAPA 4. RESPOSTA AOS RISCOS'!D20</f>
        <v/>
      </c>
      <c r="C20" s="42"/>
      <c r="D20" s="57"/>
      <c r="E20" s="57"/>
      <c r="F20" s="40"/>
      <c r="G20" s="42"/>
      <c r="H20" s="42"/>
      <c r="I20" s="42"/>
      <c r="J20" s="42"/>
      <c r="K20" s="42"/>
    </row>
    <row r="21" ht="15.75" customHeight="1">
      <c r="A21" s="40" t="str">
        <f>'ETAPA 2. IDENTIFICAÇÃO DE EVENT'!C21</f>
        <v/>
      </c>
      <c r="B21" s="40" t="str">
        <f>'ETAPA 4. RESPOSTA AOS RISCOS'!D21</f>
        <v/>
      </c>
      <c r="C21" s="42"/>
      <c r="D21" s="57"/>
      <c r="E21" s="57"/>
      <c r="F21" s="40"/>
      <c r="G21" s="42"/>
      <c r="H21" s="42"/>
      <c r="I21" s="42"/>
      <c r="J21" s="42"/>
      <c r="K21" s="42"/>
    </row>
    <row r="22" ht="15.75" customHeight="1">
      <c r="A22" s="40" t="str">
        <f>'ETAPA 2. IDENTIFICAÇÃO DE EVENT'!C22</f>
        <v/>
      </c>
      <c r="B22" s="40" t="str">
        <f>'ETAPA 4. RESPOSTA AOS RISCOS'!D22</f>
        <v/>
      </c>
      <c r="C22" s="42"/>
      <c r="D22" s="57"/>
      <c r="E22" s="57"/>
      <c r="F22" s="40"/>
      <c r="G22" s="42"/>
      <c r="H22" s="42"/>
      <c r="I22" s="42"/>
      <c r="J22" s="42"/>
      <c r="K22" s="42"/>
    </row>
    <row r="23" ht="15.75" customHeight="1">
      <c r="A23" s="40" t="str">
        <f>'ETAPA 2. IDENTIFICAÇÃO DE EVENT'!C23</f>
        <v/>
      </c>
      <c r="B23" s="40" t="str">
        <f>'ETAPA 4. RESPOSTA AOS RISCOS'!D23</f>
        <v/>
      </c>
      <c r="C23" s="42"/>
      <c r="D23" s="57"/>
      <c r="E23" s="57"/>
      <c r="F23" s="40"/>
      <c r="G23" s="42"/>
      <c r="H23" s="42"/>
      <c r="I23" s="42"/>
      <c r="J23" s="42"/>
      <c r="K23" s="42"/>
    </row>
    <row r="24" ht="15.75" customHeight="1">
      <c r="A24" s="40" t="str">
        <f>'ETAPA 2. IDENTIFICAÇÃO DE EVENT'!C24</f>
        <v/>
      </c>
      <c r="B24" s="40" t="str">
        <f>'ETAPA 4. RESPOSTA AOS RISCOS'!D24</f>
        <v/>
      </c>
      <c r="C24" s="42"/>
      <c r="D24" s="57"/>
      <c r="E24" s="57"/>
      <c r="F24" s="40"/>
      <c r="G24" s="42"/>
      <c r="H24" s="42"/>
      <c r="I24" s="42"/>
      <c r="J24" s="42"/>
      <c r="K24" s="42"/>
    </row>
    <row r="25" ht="15.75" customHeight="1">
      <c r="A25" s="40" t="str">
        <f>'ETAPA 2. IDENTIFICAÇÃO DE EVENT'!C25</f>
        <v/>
      </c>
      <c r="B25" s="40" t="str">
        <f>'ETAPA 4. RESPOSTA AOS RISCOS'!D25</f>
        <v/>
      </c>
      <c r="C25" s="42"/>
      <c r="D25" s="57"/>
      <c r="E25" s="57"/>
      <c r="F25" s="40"/>
      <c r="G25" s="42"/>
      <c r="H25" s="42"/>
      <c r="I25" s="42"/>
      <c r="J25" s="42"/>
      <c r="K25" s="42"/>
    </row>
    <row r="26" ht="15.75" customHeight="1">
      <c r="A26" s="40" t="str">
        <f>'ETAPA 2. IDENTIFICAÇÃO DE EVENT'!C26</f>
        <v/>
      </c>
      <c r="B26" s="40" t="str">
        <f>'ETAPA 4. RESPOSTA AOS RISCOS'!D26</f>
        <v/>
      </c>
      <c r="C26" s="42"/>
      <c r="D26" s="57"/>
      <c r="E26" s="57"/>
      <c r="F26" s="40"/>
      <c r="G26" s="42"/>
      <c r="H26" s="42"/>
      <c r="I26" s="42"/>
      <c r="J26" s="42"/>
      <c r="K26" s="42"/>
    </row>
    <row r="27" ht="15.75" customHeight="1">
      <c r="A27" s="40" t="str">
        <f>'ETAPA 2. IDENTIFICAÇÃO DE EVENT'!C27</f>
        <v/>
      </c>
      <c r="B27" s="40" t="str">
        <f>'ETAPA 4. RESPOSTA AOS RISCOS'!D27</f>
        <v/>
      </c>
      <c r="C27" s="42"/>
      <c r="D27" s="57"/>
      <c r="E27" s="57"/>
      <c r="F27" s="40"/>
      <c r="G27" s="42"/>
      <c r="H27" s="42"/>
      <c r="I27" s="42"/>
      <c r="J27" s="42"/>
      <c r="K27" s="42"/>
    </row>
    <row r="28" ht="15.75" customHeight="1">
      <c r="A28" s="40" t="str">
        <f>'ETAPA 2. IDENTIFICAÇÃO DE EVENT'!C28</f>
        <v/>
      </c>
      <c r="B28" s="40" t="str">
        <f>'ETAPA 4. RESPOSTA AOS RISCOS'!D28</f>
        <v/>
      </c>
      <c r="C28" s="42"/>
      <c r="D28" s="57"/>
      <c r="E28" s="57"/>
      <c r="F28" s="40"/>
      <c r="G28" s="42"/>
      <c r="H28" s="42"/>
      <c r="I28" s="42"/>
      <c r="J28" s="42"/>
      <c r="K28" s="42"/>
    </row>
    <row r="29" ht="15.75" customHeight="1">
      <c r="A29" s="40" t="str">
        <f>'ETAPA 2. IDENTIFICAÇÃO DE EVENT'!C29</f>
        <v/>
      </c>
      <c r="B29" s="40" t="str">
        <f>'ETAPA 4. RESPOSTA AOS RISCOS'!D29</f>
        <v/>
      </c>
      <c r="C29" s="42"/>
      <c r="D29" s="57"/>
      <c r="E29" s="57"/>
      <c r="F29" s="40"/>
      <c r="G29" s="42"/>
      <c r="H29" s="42"/>
      <c r="I29" s="42"/>
      <c r="J29" s="42"/>
      <c r="K29" s="42"/>
    </row>
    <row r="30" ht="15.75" customHeight="1">
      <c r="A30" s="40" t="str">
        <f>'ETAPA 2. IDENTIFICAÇÃO DE EVENT'!C30</f>
        <v/>
      </c>
      <c r="B30" s="40" t="str">
        <f>'ETAPA 4. RESPOSTA AOS RISCOS'!D30</f>
        <v/>
      </c>
      <c r="C30" s="42"/>
      <c r="D30" s="57"/>
      <c r="E30" s="57"/>
      <c r="F30" s="40"/>
      <c r="G30" s="42"/>
      <c r="H30" s="42"/>
      <c r="I30" s="42"/>
      <c r="J30" s="42"/>
      <c r="K30" s="42"/>
    </row>
    <row r="31" ht="15.75" customHeight="1">
      <c r="A31" s="40" t="str">
        <f>'ETAPA 2. IDENTIFICAÇÃO DE EVENT'!C31</f>
        <v/>
      </c>
      <c r="B31" s="40" t="str">
        <f>'ETAPA 4. RESPOSTA AOS RISCOS'!D31</f>
        <v/>
      </c>
      <c r="C31" s="42"/>
      <c r="D31" s="57"/>
      <c r="E31" s="57"/>
      <c r="F31" s="40"/>
      <c r="G31" s="42"/>
      <c r="H31" s="42"/>
      <c r="I31" s="42"/>
      <c r="J31" s="42"/>
      <c r="K31" s="42"/>
    </row>
    <row r="32" ht="15.75" customHeight="1">
      <c r="A32" s="40" t="str">
        <f>'ETAPA 2. IDENTIFICAÇÃO DE EVENT'!C32</f>
        <v/>
      </c>
      <c r="B32" s="40" t="str">
        <f>'ETAPA 4. RESPOSTA AOS RISCOS'!D32</f>
        <v/>
      </c>
      <c r="C32" s="42"/>
      <c r="D32" s="57"/>
      <c r="E32" s="57"/>
      <c r="F32" s="40"/>
      <c r="G32" s="42"/>
      <c r="H32" s="42"/>
      <c r="I32" s="42"/>
      <c r="J32" s="42"/>
      <c r="K32" s="42"/>
    </row>
    <row r="33" ht="15.75" customHeight="1">
      <c r="A33" s="40" t="str">
        <f>'ETAPA 2. IDENTIFICAÇÃO DE EVENT'!C33</f>
        <v/>
      </c>
      <c r="B33" s="40" t="str">
        <f>'ETAPA 4. RESPOSTA AOS RISCOS'!D33</f>
        <v/>
      </c>
      <c r="C33" s="42"/>
      <c r="D33" s="57"/>
      <c r="E33" s="57"/>
      <c r="F33" s="40"/>
      <c r="G33" s="42"/>
      <c r="H33" s="42"/>
      <c r="I33" s="42"/>
      <c r="J33" s="42"/>
      <c r="K33" s="42"/>
    </row>
    <row r="34" ht="15.75" customHeight="1">
      <c r="A34" s="40" t="str">
        <f>'ETAPA 2. IDENTIFICAÇÃO DE EVENT'!C34</f>
        <v/>
      </c>
      <c r="B34" s="40" t="str">
        <f>'ETAPA 4. RESPOSTA AOS RISCOS'!D34</f>
        <v/>
      </c>
      <c r="C34" s="42"/>
      <c r="D34" s="57"/>
      <c r="E34" s="57"/>
      <c r="F34" s="40"/>
      <c r="G34" s="42"/>
      <c r="H34" s="42"/>
      <c r="I34" s="42"/>
      <c r="J34" s="42"/>
      <c r="K34" s="42"/>
    </row>
    <row r="35" ht="15.75" customHeight="1">
      <c r="A35" s="40" t="str">
        <f>'ETAPA 2. IDENTIFICAÇÃO DE EVENT'!C35</f>
        <v/>
      </c>
      <c r="B35" s="40" t="str">
        <f>'ETAPA 4. RESPOSTA AOS RISCOS'!D35</f>
        <v/>
      </c>
      <c r="C35" s="42"/>
      <c r="D35" s="57"/>
      <c r="E35" s="57"/>
      <c r="F35" s="40"/>
      <c r="G35" s="42"/>
      <c r="H35" s="42"/>
      <c r="I35" s="42"/>
      <c r="J35" s="42"/>
      <c r="K35" s="42"/>
    </row>
    <row r="36" ht="15.75" customHeight="1">
      <c r="A36" s="40" t="str">
        <f>'ETAPA 2. IDENTIFICAÇÃO DE EVENT'!C36</f>
        <v/>
      </c>
      <c r="B36" s="40" t="str">
        <f>'ETAPA 4. RESPOSTA AOS RISCOS'!D36</f>
        <v/>
      </c>
      <c r="C36" s="42"/>
      <c r="D36" s="57"/>
      <c r="E36" s="57"/>
      <c r="F36" s="40"/>
      <c r="G36" s="42"/>
      <c r="H36" s="42"/>
      <c r="I36" s="42"/>
      <c r="J36" s="42"/>
      <c r="K36" s="42"/>
    </row>
    <row r="37" ht="15.75" customHeight="1">
      <c r="A37" s="40" t="str">
        <f>'ETAPA 2. IDENTIFICAÇÃO DE EVENT'!C37</f>
        <v/>
      </c>
      <c r="B37" s="40" t="str">
        <f>'ETAPA 4. RESPOSTA AOS RISCOS'!D37</f>
        <v/>
      </c>
      <c r="C37" s="42"/>
      <c r="D37" s="57"/>
      <c r="E37" s="57"/>
      <c r="F37" s="40"/>
      <c r="G37" s="42"/>
      <c r="H37" s="42"/>
      <c r="I37" s="42"/>
      <c r="J37" s="42"/>
      <c r="K37" s="42"/>
    </row>
    <row r="38" ht="15.75" customHeight="1">
      <c r="A38" s="40" t="str">
        <f>'ETAPA 2. IDENTIFICAÇÃO DE EVENT'!C38</f>
        <v/>
      </c>
      <c r="B38" s="40" t="str">
        <f>'ETAPA 4. RESPOSTA AOS RISCOS'!D38</f>
        <v/>
      </c>
      <c r="C38" s="42"/>
      <c r="D38" s="57"/>
      <c r="E38" s="57"/>
      <c r="F38" s="40"/>
      <c r="G38" s="42"/>
      <c r="H38" s="42"/>
      <c r="I38" s="42"/>
      <c r="J38" s="42"/>
      <c r="K38" s="42"/>
    </row>
    <row r="39" ht="15.75" customHeight="1">
      <c r="A39" s="40" t="str">
        <f>'ETAPA 2. IDENTIFICAÇÃO DE EVENT'!C39</f>
        <v/>
      </c>
      <c r="B39" s="40" t="str">
        <f>'ETAPA 4. RESPOSTA AOS RISCOS'!D39</f>
        <v/>
      </c>
      <c r="C39" s="42"/>
      <c r="D39" s="57"/>
      <c r="E39" s="57"/>
      <c r="F39" s="40"/>
      <c r="G39" s="42"/>
      <c r="H39" s="42"/>
      <c r="I39" s="42"/>
      <c r="J39" s="42"/>
      <c r="K39" s="42"/>
    </row>
    <row r="40" ht="15.75" customHeight="1">
      <c r="A40" s="40" t="str">
        <f>'ETAPA 2. IDENTIFICAÇÃO DE EVENT'!C40</f>
        <v/>
      </c>
      <c r="B40" s="40" t="str">
        <f>'ETAPA 4. RESPOSTA AOS RISCOS'!D40</f>
        <v/>
      </c>
      <c r="C40" s="42"/>
      <c r="D40" s="57"/>
      <c r="E40" s="57"/>
      <c r="F40" s="40"/>
      <c r="G40" s="42"/>
      <c r="H40" s="42"/>
      <c r="I40" s="42"/>
      <c r="J40" s="42"/>
      <c r="K40" s="42"/>
    </row>
    <row r="41" ht="15.75" customHeight="1">
      <c r="A41" s="40" t="str">
        <f>'ETAPA 2. IDENTIFICAÇÃO DE EVENT'!C41</f>
        <v/>
      </c>
      <c r="B41" s="40" t="str">
        <f>'ETAPA 4. RESPOSTA AOS RISCOS'!D41</f>
        <v/>
      </c>
      <c r="C41" s="42"/>
      <c r="D41" s="57"/>
      <c r="E41" s="57"/>
      <c r="F41" s="40"/>
      <c r="G41" s="42"/>
      <c r="H41" s="42"/>
      <c r="I41" s="42"/>
      <c r="J41" s="42"/>
      <c r="K41" s="42"/>
    </row>
    <row r="42" ht="15.75" customHeight="1">
      <c r="A42" s="40" t="str">
        <f>'ETAPA 2. IDENTIFICAÇÃO DE EVENT'!C42</f>
        <v/>
      </c>
      <c r="B42" s="40" t="str">
        <f>'ETAPA 4. RESPOSTA AOS RISCOS'!D42</f>
        <v/>
      </c>
      <c r="C42" s="42"/>
      <c r="D42" s="57"/>
      <c r="E42" s="57"/>
      <c r="F42" s="40"/>
      <c r="G42" s="42"/>
      <c r="H42" s="42"/>
      <c r="I42" s="42"/>
      <c r="J42" s="42"/>
      <c r="K42" s="42"/>
    </row>
    <row r="43" ht="15.75" customHeight="1">
      <c r="A43" s="40" t="str">
        <f>'ETAPA 2. IDENTIFICAÇÃO DE EVENT'!C43</f>
        <v/>
      </c>
      <c r="B43" s="40" t="str">
        <f>'ETAPA 4. RESPOSTA AOS RISCOS'!D43</f>
        <v/>
      </c>
      <c r="C43" s="42"/>
      <c r="D43" s="57"/>
      <c r="E43" s="57"/>
      <c r="F43" s="40"/>
      <c r="G43" s="42"/>
      <c r="H43" s="42"/>
      <c r="I43" s="42"/>
      <c r="J43" s="42"/>
      <c r="K43" s="42"/>
    </row>
    <row r="44" ht="15.75" customHeight="1">
      <c r="A44" s="40" t="str">
        <f>'ETAPA 2. IDENTIFICAÇÃO DE EVENT'!C44</f>
        <v/>
      </c>
      <c r="B44" s="40" t="str">
        <f>'ETAPA 4. RESPOSTA AOS RISCOS'!D44</f>
        <v/>
      </c>
      <c r="C44" s="42"/>
      <c r="D44" s="57"/>
      <c r="E44" s="57"/>
      <c r="F44" s="40"/>
      <c r="G44" s="42"/>
      <c r="H44" s="42"/>
      <c r="I44" s="42"/>
      <c r="J44" s="42"/>
      <c r="K44" s="42"/>
    </row>
    <row r="45" ht="15.75" customHeight="1">
      <c r="A45" s="40" t="str">
        <f>'ETAPA 2. IDENTIFICAÇÃO DE EVENT'!C45</f>
        <v/>
      </c>
      <c r="B45" s="40" t="str">
        <f>'ETAPA 4. RESPOSTA AOS RISCOS'!D45</f>
        <v/>
      </c>
      <c r="C45" s="42"/>
      <c r="D45" s="57"/>
      <c r="E45" s="57"/>
      <c r="F45" s="40"/>
      <c r="G45" s="42"/>
      <c r="H45" s="42"/>
      <c r="I45" s="42"/>
      <c r="J45" s="42"/>
      <c r="K45" s="42"/>
    </row>
    <row r="46" ht="15.75" customHeight="1">
      <c r="A46" s="40" t="str">
        <f>'ETAPA 2. IDENTIFICAÇÃO DE EVENT'!C46</f>
        <v/>
      </c>
      <c r="B46" s="40" t="str">
        <f>'ETAPA 4. RESPOSTA AOS RISCOS'!D46</f>
        <v/>
      </c>
      <c r="C46" s="42"/>
      <c r="D46" s="57"/>
      <c r="E46" s="57"/>
      <c r="F46" s="40"/>
      <c r="G46" s="42"/>
      <c r="H46" s="42"/>
      <c r="I46" s="42"/>
      <c r="J46" s="42"/>
      <c r="K46" s="42"/>
    </row>
    <row r="47" ht="15.75" customHeight="1">
      <c r="A47" s="40" t="str">
        <f>'ETAPA 2. IDENTIFICAÇÃO DE EVENT'!C47</f>
        <v/>
      </c>
      <c r="B47" s="40" t="str">
        <f>'ETAPA 4. RESPOSTA AOS RISCOS'!D47</f>
        <v/>
      </c>
      <c r="C47" s="42"/>
      <c r="D47" s="57"/>
      <c r="E47" s="57"/>
      <c r="F47" s="40"/>
      <c r="G47" s="42"/>
      <c r="H47" s="42"/>
      <c r="I47" s="42"/>
      <c r="J47" s="42"/>
      <c r="K47" s="42"/>
    </row>
    <row r="48" ht="15.75" customHeight="1">
      <c r="A48" s="40" t="str">
        <f>'ETAPA 2. IDENTIFICAÇÃO DE EVENT'!C48</f>
        <v/>
      </c>
      <c r="B48" s="40" t="str">
        <f>'ETAPA 4. RESPOSTA AOS RISCOS'!D48</f>
        <v/>
      </c>
      <c r="C48" s="42"/>
      <c r="D48" s="57"/>
      <c r="E48" s="57"/>
      <c r="F48" s="40"/>
      <c r="G48" s="42"/>
      <c r="H48" s="42"/>
      <c r="I48" s="42"/>
      <c r="J48" s="42"/>
      <c r="K48" s="42"/>
    </row>
    <row r="49" ht="15.75" customHeight="1">
      <c r="A49" s="40" t="str">
        <f>'ETAPA 2. IDENTIFICAÇÃO DE EVENT'!C49</f>
        <v/>
      </c>
      <c r="B49" s="40" t="str">
        <f>'ETAPA 4. RESPOSTA AOS RISCOS'!D49</f>
        <v/>
      </c>
      <c r="C49" s="42"/>
      <c r="D49" s="57"/>
      <c r="E49" s="57"/>
      <c r="F49" s="40"/>
      <c r="G49" s="42"/>
      <c r="H49" s="42"/>
      <c r="I49" s="42"/>
      <c r="J49" s="42"/>
      <c r="K49" s="42"/>
    </row>
    <row r="50" ht="15.75" customHeight="1">
      <c r="A50" s="40" t="str">
        <f>'ETAPA 2. IDENTIFICAÇÃO DE EVENT'!C50</f>
        <v/>
      </c>
      <c r="B50" s="40" t="str">
        <f>'ETAPA 4. RESPOSTA AOS RISCOS'!D50</f>
        <v/>
      </c>
      <c r="C50" s="42"/>
      <c r="D50" s="57"/>
      <c r="E50" s="57"/>
      <c r="F50" s="40"/>
      <c r="G50" s="42"/>
      <c r="H50" s="42"/>
      <c r="I50" s="42"/>
      <c r="J50" s="42"/>
      <c r="K50" s="42"/>
    </row>
    <row r="51" ht="15.75" customHeight="1">
      <c r="A51" s="40" t="str">
        <f>'ETAPA 2. IDENTIFICAÇÃO DE EVENT'!C51</f>
        <v/>
      </c>
      <c r="B51" s="40" t="str">
        <f>'ETAPA 4. RESPOSTA AOS RISCOS'!D51</f>
        <v/>
      </c>
      <c r="C51" s="42"/>
      <c r="D51" s="57"/>
      <c r="E51" s="57"/>
      <c r="F51" s="40"/>
      <c r="G51" s="42"/>
      <c r="H51" s="42"/>
      <c r="I51" s="42"/>
      <c r="J51" s="42"/>
      <c r="K51" s="42"/>
    </row>
    <row r="52" ht="15.75" customHeight="1">
      <c r="A52" s="40" t="str">
        <f>'ETAPA 2. IDENTIFICAÇÃO DE EVENT'!C52</f>
        <v/>
      </c>
      <c r="B52" s="40" t="str">
        <f>'ETAPA 4. RESPOSTA AOS RISCOS'!D52</f>
        <v/>
      </c>
      <c r="C52" s="42"/>
      <c r="D52" s="57"/>
      <c r="E52" s="57"/>
      <c r="F52" s="40"/>
      <c r="G52" s="42"/>
      <c r="H52" s="42"/>
      <c r="I52" s="42"/>
      <c r="J52" s="42"/>
      <c r="K52" s="42"/>
    </row>
    <row r="53" ht="15.75" customHeight="1">
      <c r="A53" s="40" t="str">
        <f>'ETAPA 2. IDENTIFICAÇÃO DE EVENT'!C53</f>
        <v/>
      </c>
      <c r="B53" s="40" t="str">
        <f>'ETAPA 4. RESPOSTA AOS RISCOS'!D53</f>
        <v/>
      </c>
      <c r="C53" s="42"/>
      <c r="D53" s="57"/>
      <c r="E53" s="57"/>
      <c r="F53" s="40"/>
      <c r="G53" s="42"/>
      <c r="H53" s="42"/>
      <c r="I53" s="42"/>
      <c r="J53" s="42"/>
      <c r="K53" s="42"/>
    </row>
    <row r="54" ht="15.75" customHeight="1">
      <c r="A54" s="40" t="str">
        <f>'ETAPA 2. IDENTIFICAÇÃO DE EVENT'!C54</f>
        <v/>
      </c>
      <c r="B54" s="40" t="str">
        <f>'ETAPA 4. RESPOSTA AOS RISCOS'!D54</f>
        <v/>
      </c>
      <c r="C54" s="42"/>
      <c r="D54" s="57"/>
      <c r="E54" s="57"/>
      <c r="F54" s="40"/>
      <c r="G54" s="42"/>
      <c r="H54" s="42"/>
      <c r="I54" s="42"/>
      <c r="J54" s="42"/>
      <c r="K54" s="42"/>
    </row>
    <row r="55" ht="15.75" customHeight="1">
      <c r="A55" s="40" t="str">
        <f>'ETAPA 2. IDENTIFICAÇÃO DE EVENT'!C55</f>
        <v/>
      </c>
      <c r="B55" s="40" t="str">
        <f>'ETAPA 4. RESPOSTA AOS RISCOS'!D55</f>
        <v/>
      </c>
      <c r="C55" s="42"/>
      <c r="D55" s="57"/>
      <c r="E55" s="57"/>
      <c r="F55" s="40"/>
      <c r="G55" s="42"/>
      <c r="H55" s="42"/>
      <c r="I55" s="42"/>
      <c r="J55" s="42"/>
      <c r="K55" s="42"/>
    </row>
    <row r="56" ht="15.75" customHeight="1">
      <c r="A56" s="40" t="str">
        <f>'ETAPA 2. IDENTIFICAÇÃO DE EVENT'!C56</f>
        <v/>
      </c>
      <c r="B56" s="40" t="str">
        <f>'ETAPA 4. RESPOSTA AOS RISCOS'!D56</f>
        <v/>
      </c>
      <c r="C56" s="42"/>
      <c r="D56" s="57"/>
      <c r="E56" s="57"/>
      <c r="F56" s="40"/>
      <c r="G56" s="42"/>
      <c r="H56" s="42"/>
      <c r="I56" s="42"/>
      <c r="J56" s="42"/>
      <c r="K56" s="42"/>
    </row>
    <row r="57" ht="15.75" customHeight="1">
      <c r="A57" s="40" t="str">
        <f>'ETAPA 2. IDENTIFICAÇÃO DE EVENT'!C57</f>
        <v/>
      </c>
      <c r="B57" s="40" t="str">
        <f>'ETAPA 4. RESPOSTA AOS RISCOS'!D57</f>
        <v/>
      </c>
      <c r="C57" s="42"/>
      <c r="D57" s="57"/>
      <c r="E57" s="57"/>
      <c r="F57" s="40"/>
      <c r="G57" s="42"/>
      <c r="H57" s="42"/>
      <c r="I57" s="42"/>
      <c r="J57" s="42"/>
      <c r="K57" s="42"/>
    </row>
    <row r="58" ht="15.75" customHeight="1">
      <c r="A58" s="40" t="str">
        <f>'ETAPA 2. IDENTIFICAÇÃO DE EVENT'!C58</f>
        <v/>
      </c>
      <c r="B58" s="40" t="str">
        <f>'ETAPA 4. RESPOSTA AOS RISCOS'!D58</f>
        <v/>
      </c>
      <c r="C58" s="42"/>
      <c r="D58" s="57"/>
      <c r="E58" s="57"/>
      <c r="F58" s="40"/>
      <c r="G58" s="42"/>
      <c r="H58" s="42"/>
      <c r="I58" s="42"/>
      <c r="J58" s="42"/>
      <c r="K58" s="42"/>
    </row>
    <row r="59" ht="15.75" customHeight="1">
      <c r="A59" s="40" t="str">
        <f>'ETAPA 2. IDENTIFICAÇÃO DE EVENT'!C59</f>
        <v/>
      </c>
      <c r="B59" s="40" t="str">
        <f>'ETAPA 4. RESPOSTA AOS RISCOS'!D59</f>
        <v/>
      </c>
      <c r="C59" s="42"/>
      <c r="D59" s="57"/>
      <c r="E59" s="57"/>
      <c r="F59" s="40"/>
      <c r="G59" s="42"/>
      <c r="H59" s="42"/>
      <c r="I59" s="42"/>
      <c r="J59" s="42"/>
      <c r="K59" s="42"/>
    </row>
    <row r="60" ht="15.75" customHeight="1">
      <c r="A60" s="40" t="str">
        <f>'ETAPA 2. IDENTIFICAÇÃO DE EVENT'!C60</f>
        <v/>
      </c>
      <c r="B60" s="40" t="str">
        <f>'ETAPA 4. RESPOSTA AOS RISCOS'!D60</f>
        <v/>
      </c>
      <c r="C60" s="42"/>
      <c r="D60" s="57"/>
      <c r="E60" s="57"/>
      <c r="F60" s="40"/>
      <c r="G60" s="42"/>
      <c r="H60" s="42"/>
      <c r="I60" s="42"/>
      <c r="J60" s="42"/>
      <c r="K60" s="42"/>
    </row>
    <row r="61" ht="15.75" customHeight="1">
      <c r="F61" s="48"/>
    </row>
    <row r="62" ht="15.75" customHeight="1">
      <c r="F62" s="48"/>
    </row>
    <row r="63" ht="15.75" customHeight="1">
      <c r="F63" s="48"/>
    </row>
    <row r="64" ht="15.75" customHeight="1">
      <c r="F64" s="48"/>
    </row>
    <row r="65" ht="15.75" customHeight="1">
      <c r="F65" s="48"/>
    </row>
    <row r="66" ht="15.75" customHeight="1">
      <c r="F66" s="48"/>
    </row>
    <row r="67" ht="15.75" customHeight="1">
      <c r="F67" s="48"/>
    </row>
    <row r="68" ht="15.75" customHeight="1">
      <c r="F68" s="48"/>
    </row>
    <row r="69" ht="15.75" customHeight="1">
      <c r="F69" s="48"/>
    </row>
    <row r="70" ht="15.75" customHeight="1">
      <c r="F70" s="48"/>
    </row>
    <row r="71" ht="15.75" customHeight="1">
      <c r="F71" s="48"/>
    </row>
    <row r="72" ht="15.75" customHeight="1">
      <c r="F72" s="48"/>
    </row>
    <row r="73" ht="15.75" customHeight="1">
      <c r="F73" s="48"/>
    </row>
    <row r="74" ht="15.75" customHeight="1">
      <c r="F74" s="48"/>
    </row>
    <row r="75" ht="15.75" customHeight="1">
      <c r="F75" s="48"/>
    </row>
    <row r="76" ht="15.75" customHeight="1">
      <c r="F76" s="48"/>
    </row>
    <row r="77" ht="15.75" customHeight="1">
      <c r="F77" s="48"/>
    </row>
    <row r="78" ht="15.75" customHeight="1">
      <c r="F78" s="48"/>
    </row>
    <row r="79" ht="15.75" customHeight="1">
      <c r="F79" s="48"/>
    </row>
    <row r="80" ht="15.75" customHeight="1">
      <c r="F80" s="48"/>
    </row>
    <row r="81" ht="15.75" customHeight="1">
      <c r="F81" s="48"/>
    </row>
    <row r="82" ht="15.75" customHeight="1">
      <c r="F82" s="48"/>
    </row>
    <row r="83" ht="15.75" customHeight="1">
      <c r="F83" s="48"/>
    </row>
    <row r="84" ht="15.75" customHeight="1">
      <c r="F84" s="48"/>
    </row>
    <row r="85" ht="15.75" customHeight="1">
      <c r="F85" s="48"/>
    </row>
    <row r="86" ht="15.75" customHeight="1">
      <c r="F86" s="48"/>
    </row>
    <row r="87" ht="15.75" customHeight="1">
      <c r="F87" s="48"/>
    </row>
    <row r="88" ht="15.75" customHeight="1">
      <c r="F88" s="48"/>
    </row>
    <row r="89" ht="15.75" customHeight="1">
      <c r="F89" s="48"/>
    </row>
    <row r="90" ht="15.75" customHeight="1">
      <c r="F90" s="48"/>
    </row>
    <row r="91" ht="15.75" customHeight="1">
      <c r="F91" s="48"/>
    </row>
    <row r="92" ht="15.75" customHeight="1">
      <c r="F92" s="48"/>
    </row>
    <row r="93" ht="15.75" customHeight="1">
      <c r="F93" s="48"/>
    </row>
    <row r="94" ht="15.75" customHeight="1">
      <c r="F94" s="48"/>
    </row>
    <row r="95" ht="15.75" customHeight="1">
      <c r="F95" s="48"/>
    </row>
    <row r="96" ht="15.75" customHeight="1">
      <c r="F96" s="48"/>
    </row>
    <row r="97" ht="15.75" customHeight="1">
      <c r="F97" s="48"/>
    </row>
    <row r="98" ht="15.75" customHeight="1">
      <c r="F98" s="48"/>
    </row>
    <row r="99" ht="15.75" customHeight="1">
      <c r="F99" s="48"/>
    </row>
    <row r="100" ht="15.75" customHeight="1">
      <c r="F100" s="48"/>
    </row>
    <row r="101" ht="15.75" customHeight="1">
      <c r="F101" s="48"/>
    </row>
    <row r="102" ht="15.75" customHeight="1">
      <c r="F102" s="48"/>
    </row>
    <row r="103" ht="15.75" customHeight="1">
      <c r="F103" s="48"/>
    </row>
    <row r="104" ht="15.75" customHeight="1">
      <c r="F104" s="48"/>
    </row>
    <row r="105" ht="15.75" customHeight="1">
      <c r="F105" s="48"/>
    </row>
    <row r="106" ht="15.75" customHeight="1">
      <c r="F106" s="48"/>
    </row>
    <row r="107" ht="15.75" customHeight="1">
      <c r="F107" s="48"/>
    </row>
    <row r="108" ht="15.75" customHeight="1">
      <c r="F108" s="48"/>
    </row>
    <row r="109" ht="15.75" customHeight="1">
      <c r="F109" s="48"/>
    </row>
    <row r="110" ht="15.75" customHeight="1">
      <c r="F110" s="48"/>
    </row>
    <row r="111" ht="15.75" customHeight="1">
      <c r="F111" s="48"/>
    </row>
    <row r="112" ht="15.75" customHeight="1">
      <c r="F112" s="48"/>
    </row>
    <row r="113" ht="15.75" customHeight="1">
      <c r="F113" s="48"/>
    </row>
    <row r="114" ht="15.75" customHeight="1">
      <c r="F114" s="48"/>
    </row>
    <row r="115" ht="15.75" customHeight="1">
      <c r="F115" s="48"/>
    </row>
    <row r="116" ht="15.75" customHeight="1">
      <c r="F116" s="48"/>
    </row>
    <row r="117" ht="15.75" customHeight="1">
      <c r="F117" s="48"/>
    </row>
    <row r="118" ht="15.75" customHeight="1">
      <c r="F118" s="48"/>
    </row>
    <row r="119" ht="15.75" customHeight="1">
      <c r="F119" s="48"/>
    </row>
    <row r="120" ht="15.75" customHeight="1">
      <c r="F120" s="48"/>
    </row>
    <row r="121" ht="15.75" customHeight="1">
      <c r="F121" s="48"/>
    </row>
    <row r="122" ht="15.75" customHeight="1">
      <c r="F122" s="48"/>
    </row>
    <row r="123" ht="15.75" customHeight="1">
      <c r="F123" s="48"/>
    </row>
    <row r="124" ht="15.75" customHeight="1">
      <c r="F124" s="48"/>
    </row>
    <row r="125" ht="15.75" customHeight="1">
      <c r="F125" s="48"/>
    </row>
    <row r="126" ht="15.75" customHeight="1">
      <c r="F126" s="48"/>
    </row>
    <row r="127" ht="15.75" customHeight="1">
      <c r="F127" s="48"/>
    </row>
    <row r="128" ht="15.75" customHeight="1">
      <c r="F128" s="48"/>
    </row>
    <row r="129" ht="15.75" customHeight="1">
      <c r="F129" s="48"/>
    </row>
    <row r="130" ht="15.75" customHeight="1">
      <c r="F130" s="48"/>
    </row>
    <row r="131" ht="15.75" customHeight="1">
      <c r="F131" s="48"/>
    </row>
    <row r="132" ht="15.75" customHeight="1">
      <c r="F132" s="48"/>
    </row>
    <row r="133" ht="15.75" customHeight="1">
      <c r="F133" s="48"/>
    </row>
    <row r="134" ht="15.75" customHeight="1">
      <c r="F134" s="48"/>
    </row>
    <row r="135" ht="15.75" customHeight="1">
      <c r="F135" s="48"/>
    </row>
    <row r="136" ht="15.75" customHeight="1">
      <c r="F136" s="48"/>
    </row>
    <row r="137" ht="15.75" customHeight="1">
      <c r="F137" s="48"/>
    </row>
    <row r="138" ht="15.75" customHeight="1">
      <c r="F138" s="48"/>
    </row>
    <row r="139" ht="15.75" customHeight="1">
      <c r="F139" s="48"/>
    </row>
    <row r="140" ht="15.75" customHeight="1">
      <c r="F140" s="48"/>
    </row>
    <row r="141" ht="15.75" customHeight="1">
      <c r="F141" s="48"/>
    </row>
    <row r="142" ht="15.75" customHeight="1">
      <c r="F142" s="48"/>
    </row>
    <row r="143" ht="15.75" customHeight="1">
      <c r="F143" s="48"/>
    </row>
    <row r="144" ht="15.75" customHeight="1">
      <c r="F144" s="48"/>
    </row>
    <row r="145" ht="15.75" customHeight="1">
      <c r="F145" s="48"/>
    </row>
    <row r="146" ht="15.75" customHeight="1">
      <c r="F146" s="48"/>
    </row>
    <row r="147" ht="15.75" customHeight="1">
      <c r="F147" s="48"/>
    </row>
    <row r="148" ht="15.75" customHeight="1">
      <c r="F148" s="48"/>
    </row>
    <row r="149" ht="15.75" customHeight="1">
      <c r="F149" s="48"/>
    </row>
    <row r="150" ht="15.75" customHeight="1">
      <c r="F150" s="48"/>
    </row>
    <row r="151" ht="15.75" customHeight="1">
      <c r="F151" s="48"/>
    </row>
    <row r="152" ht="15.75" customHeight="1">
      <c r="F152" s="48"/>
    </row>
    <row r="153" ht="15.75" customHeight="1">
      <c r="F153" s="48"/>
    </row>
    <row r="154" ht="15.75" customHeight="1">
      <c r="F154" s="48"/>
    </row>
    <row r="155" ht="15.75" customHeight="1">
      <c r="F155" s="48"/>
    </row>
    <row r="156" ht="15.75" customHeight="1">
      <c r="F156" s="48"/>
    </row>
    <row r="157" ht="15.75" customHeight="1">
      <c r="F157" s="48"/>
    </row>
    <row r="158" ht="15.75" customHeight="1">
      <c r="F158" s="48"/>
    </row>
    <row r="159" ht="15.75" customHeight="1">
      <c r="F159" s="48"/>
    </row>
    <row r="160" ht="15.75" customHeight="1">
      <c r="F160" s="48"/>
    </row>
    <row r="161" ht="15.75" customHeight="1">
      <c r="F161" s="48"/>
    </row>
    <row r="162" ht="15.75" customHeight="1">
      <c r="F162" s="48"/>
    </row>
    <row r="163" ht="15.75" customHeight="1">
      <c r="F163" s="48"/>
    </row>
    <row r="164" ht="15.75" customHeight="1">
      <c r="F164" s="48"/>
    </row>
    <row r="165" ht="15.75" customHeight="1">
      <c r="F165" s="48"/>
    </row>
    <row r="166" ht="15.75" customHeight="1">
      <c r="F166" s="48"/>
    </row>
    <row r="167" ht="15.75" customHeight="1">
      <c r="F167" s="48"/>
    </row>
    <row r="168" ht="15.75" customHeight="1">
      <c r="F168" s="48"/>
    </row>
    <row r="169" ht="15.75" customHeight="1">
      <c r="F169" s="48"/>
    </row>
    <row r="170" ht="15.75" customHeight="1">
      <c r="F170" s="48"/>
    </row>
    <row r="171" ht="15.75" customHeight="1">
      <c r="F171" s="48"/>
    </row>
    <row r="172" ht="15.75" customHeight="1">
      <c r="F172" s="48"/>
    </row>
    <row r="173" ht="15.75" customHeight="1">
      <c r="F173" s="48"/>
    </row>
    <row r="174" ht="15.75" customHeight="1">
      <c r="F174" s="48"/>
    </row>
    <row r="175" ht="15.75" customHeight="1">
      <c r="F175" s="48"/>
    </row>
    <row r="176" ht="15.75" customHeight="1">
      <c r="F176" s="48"/>
    </row>
    <row r="177" ht="15.75" customHeight="1">
      <c r="F177" s="48"/>
    </row>
    <row r="178" ht="15.75" customHeight="1">
      <c r="F178" s="48"/>
    </row>
    <row r="179" ht="15.75" customHeight="1">
      <c r="F179" s="48"/>
    </row>
    <row r="180" ht="15.75" customHeight="1">
      <c r="F180" s="48"/>
    </row>
    <row r="181" ht="15.75" customHeight="1">
      <c r="F181" s="48"/>
    </row>
    <row r="182" ht="15.75" customHeight="1">
      <c r="F182" s="48"/>
    </row>
    <row r="183" ht="15.75" customHeight="1">
      <c r="F183" s="48"/>
    </row>
    <row r="184" ht="15.75" customHeight="1">
      <c r="F184" s="48"/>
    </row>
    <row r="185" ht="15.75" customHeight="1">
      <c r="F185" s="48"/>
    </row>
    <row r="186" ht="15.75" customHeight="1">
      <c r="F186" s="48"/>
    </row>
    <row r="187" ht="15.75" customHeight="1">
      <c r="F187" s="48"/>
    </row>
    <row r="188" ht="15.75" customHeight="1">
      <c r="F188" s="48"/>
    </row>
    <row r="189" ht="15.75" customHeight="1">
      <c r="F189" s="48"/>
    </row>
    <row r="190" ht="15.75" customHeight="1">
      <c r="F190" s="48"/>
    </row>
    <row r="191" ht="15.75" customHeight="1">
      <c r="F191" s="48"/>
    </row>
    <row r="192" ht="15.75" customHeight="1">
      <c r="F192" s="48"/>
    </row>
    <row r="193" ht="15.75" customHeight="1">
      <c r="F193" s="48"/>
    </row>
    <row r="194" ht="15.75" customHeight="1">
      <c r="F194" s="48"/>
    </row>
    <row r="195" ht="15.75" customHeight="1">
      <c r="F195" s="48"/>
    </row>
    <row r="196" ht="15.75" customHeight="1">
      <c r="F196" s="48"/>
    </row>
    <row r="197" ht="15.75" customHeight="1">
      <c r="F197" s="48"/>
    </row>
    <row r="198" ht="15.75" customHeight="1">
      <c r="F198" s="48"/>
    </row>
    <row r="199" ht="15.75" customHeight="1">
      <c r="F199" s="48"/>
    </row>
    <row r="200" ht="15.75" customHeight="1">
      <c r="F200" s="48"/>
    </row>
    <row r="201" ht="15.75" customHeight="1">
      <c r="F201" s="48"/>
    </row>
    <row r="202" ht="15.75" customHeight="1">
      <c r="F202" s="48"/>
    </row>
    <row r="203" ht="15.75" customHeight="1">
      <c r="F203" s="48"/>
    </row>
    <row r="204" ht="15.75" customHeight="1">
      <c r="F204" s="48"/>
    </row>
    <row r="205" ht="15.75" customHeight="1">
      <c r="F205" s="48"/>
    </row>
    <row r="206" ht="15.75" customHeight="1">
      <c r="F206" s="48"/>
    </row>
    <row r="207" ht="15.75" customHeight="1">
      <c r="F207" s="48"/>
    </row>
    <row r="208" ht="15.75" customHeight="1">
      <c r="F208" s="48"/>
    </row>
    <row r="209" ht="15.75" customHeight="1">
      <c r="F209" s="48"/>
    </row>
    <row r="210" ht="15.75" customHeight="1">
      <c r="F210" s="48"/>
    </row>
    <row r="211" ht="15.75" customHeight="1">
      <c r="F211" s="48"/>
    </row>
    <row r="212" ht="15.75" customHeight="1">
      <c r="F212" s="48"/>
    </row>
    <row r="213" ht="15.75" customHeight="1">
      <c r="F213" s="48"/>
    </row>
    <row r="214" ht="15.75" customHeight="1">
      <c r="F214" s="48"/>
    </row>
    <row r="215" ht="15.75" customHeight="1">
      <c r="F215" s="48"/>
    </row>
    <row r="216" ht="15.75" customHeight="1">
      <c r="F216" s="48"/>
    </row>
    <row r="217" ht="15.75" customHeight="1">
      <c r="F217" s="48"/>
    </row>
    <row r="218" ht="15.75" customHeight="1">
      <c r="F218" s="48"/>
    </row>
    <row r="219" ht="15.75" customHeight="1">
      <c r="F219" s="48"/>
    </row>
    <row r="220" ht="15.75" customHeight="1">
      <c r="F220" s="48"/>
    </row>
    <row r="221" ht="15.75" customHeight="1">
      <c r="F221" s="48"/>
    </row>
    <row r="222" ht="15.75" customHeight="1">
      <c r="F222" s="48"/>
    </row>
    <row r="223" ht="15.75" customHeight="1">
      <c r="F223" s="48"/>
    </row>
    <row r="224" ht="15.75" customHeight="1">
      <c r="F224" s="48"/>
    </row>
    <row r="225" ht="15.75" customHeight="1">
      <c r="F225" s="48"/>
    </row>
    <row r="226" ht="15.75" customHeight="1">
      <c r="F226" s="48"/>
    </row>
    <row r="227" ht="15.75" customHeight="1">
      <c r="F227" s="48"/>
    </row>
    <row r="228" ht="15.75" customHeight="1">
      <c r="F228" s="48"/>
    </row>
    <row r="229" ht="15.75" customHeight="1">
      <c r="F229" s="48"/>
    </row>
    <row r="230" ht="15.75" customHeight="1">
      <c r="F230" s="48"/>
    </row>
    <row r="231" ht="15.75" customHeight="1">
      <c r="F231" s="48"/>
    </row>
    <row r="232" ht="15.75" customHeight="1">
      <c r="F232" s="48"/>
    </row>
    <row r="233" ht="15.75" customHeight="1">
      <c r="F233" s="48"/>
    </row>
    <row r="234" ht="15.75" customHeight="1">
      <c r="F234" s="48"/>
    </row>
    <row r="235" ht="15.75" customHeight="1">
      <c r="F235" s="48"/>
    </row>
    <row r="236" ht="15.75" customHeight="1">
      <c r="F236" s="48"/>
    </row>
    <row r="237" ht="15.75" customHeight="1">
      <c r="F237" s="48"/>
    </row>
    <row r="238" ht="15.75" customHeight="1">
      <c r="F238" s="48"/>
    </row>
    <row r="239" ht="15.75" customHeight="1">
      <c r="F239" s="48"/>
    </row>
    <row r="240" ht="15.75" customHeight="1">
      <c r="F240" s="48"/>
    </row>
    <row r="241" ht="15.75" customHeight="1">
      <c r="F241" s="48"/>
    </row>
    <row r="242" ht="15.75" customHeight="1">
      <c r="F242" s="48"/>
    </row>
    <row r="243" ht="15.75" customHeight="1">
      <c r="F243" s="48"/>
    </row>
    <row r="244" ht="15.75" customHeight="1">
      <c r="F244" s="48"/>
    </row>
    <row r="245" ht="15.75" customHeight="1">
      <c r="F245" s="48"/>
    </row>
    <row r="246" ht="15.75" customHeight="1">
      <c r="F246" s="48"/>
    </row>
    <row r="247" ht="15.75" customHeight="1">
      <c r="F247" s="48"/>
    </row>
    <row r="248" ht="15.75" customHeight="1">
      <c r="F248" s="48"/>
    </row>
    <row r="249" ht="15.75" customHeight="1">
      <c r="F249" s="48"/>
    </row>
    <row r="250" ht="15.75" customHeight="1">
      <c r="F250" s="48"/>
    </row>
    <row r="251" ht="15.75" customHeight="1">
      <c r="F251" s="48"/>
    </row>
    <row r="252" ht="15.75" customHeight="1">
      <c r="F252" s="48"/>
    </row>
    <row r="253" ht="15.75" customHeight="1">
      <c r="F253" s="48"/>
    </row>
    <row r="254" ht="15.75" customHeight="1">
      <c r="F254" s="48"/>
    </row>
    <row r="255" ht="15.75" customHeight="1">
      <c r="F255" s="48"/>
    </row>
    <row r="256" ht="15.75" customHeight="1">
      <c r="F256" s="48"/>
    </row>
    <row r="257" ht="15.75" customHeight="1">
      <c r="F257" s="48"/>
    </row>
    <row r="258" ht="15.75" customHeight="1">
      <c r="F258" s="48"/>
    </row>
    <row r="259" ht="15.75" customHeight="1">
      <c r="F259" s="48"/>
    </row>
    <row r="260" ht="15.75" customHeight="1">
      <c r="F260" s="48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I1:K1"/>
  </mergeCells>
  <conditionalFormatting sqref="F3:F60">
    <cfRule type="containsText" dxfId="0" priority="1" operator="containsText" text="Não implementado">
      <formula>NOT(ISERROR(SEARCH(("Não implementado"),(F3))))</formula>
    </cfRule>
  </conditionalFormatting>
  <conditionalFormatting sqref="F3:F60">
    <cfRule type="containsText" dxfId="3" priority="2" operator="containsText" text="Implementado">
      <formula>NOT(ISERROR(SEARCH(("Implementado"),(F3))))</formula>
    </cfRule>
  </conditionalFormatting>
  <conditionalFormatting sqref="F3:F60">
    <cfRule type="containsText" dxfId="2" priority="3" operator="containsText" text="Em implementação">
      <formula>NOT(ISERROR(SEARCH(("Em implementação"),(F3))))</formula>
    </cfRule>
  </conditionalFormatting>
  <dataValidations>
    <dataValidation type="list" allowBlank="1" showErrorMessage="1" sqref="F3:F60">
      <formula1>"Implementado,Em implementação,Não implementado"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22.25"/>
    <col customWidth="1" min="3" max="4" width="24.13"/>
    <col customWidth="1" min="5" max="5" width="27.88"/>
    <col customWidth="1" min="6" max="6" width="35.38"/>
  </cols>
  <sheetData>
    <row r="1" ht="15.75" customHeight="1">
      <c r="A1" s="59" t="s">
        <v>176</v>
      </c>
      <c r="B1" s="20"/>
      <c r="C1" s="20"/>
      <c r="D1" s="20"/>
      <c r="E1" s="20"/>
      <c r="F1" s="2"/>
    </row>
    <row r="2" ht="48.75" customHeight="1">
      <c r="A2" s="60" t="s">
        <v>65</v>
      </c>
      <c r="B2" s="60" t="s">
        <v>177</v>
      </c>
      <c r="C2" s="61" t="s">
        <v>178</v>
      </c>
      <c r="D2" s="62" t="s">
        <v>179</v>
      </c>
      <c r="E2" s="61" t="s">
        <v>180</v>
      </c>
      <c r="F2" s="61" t="s">
        <v>181</v>
      </c>
    </row>
    <row r="3" ht="15.75" customHeight="1">
      <c r="A3" s="26" t="s">
        <v>19</v>
      </c>
      <c r="B3" s="63">
        <v>45994.0</v>
      </c>
      <c r="C3" s="26" t="s">
        <v>182</v>
      </c>
      <c r="D3" s="26" t="s">
        <v>135</v>
      </c>
      <c r="E3" s="26" t="s">
        <v>183</v>
      </c>
      <c r="F3" s="15" t="s">
        <v>184</v>
      </c>
    </row>
    <row r="4" ht="15.75" customHeight="1">
      <c r="A4" s="26" t="s">
        <v>25</v>
      </c>
      <c r="B4" s="63">
        <v>45994.0</v>
      </c>
      <c r="C4" s="26" t="s">
        <v>185</v>
      </c>
      <c r="D4" s="26" t="s">
        <v>135</v>
      </c>
      <c r="E4" s="26" t="s">
        <v>186</v>
      </c>
      <c r="F4" s="15" t="s">
        <v>187</v>
      </c>
    </row>
    <row r="5" ht="15.75" customHeight="1">
      <c r="A5" s="26" t="s">
        <v>188</v>
      </c>
      <c r="B5" s="63">
        <v>45994.0</v>
      </c>
      <c r="C5" s="26" t="s">
        <v>189</v>
      </c>
      <c r="D5" s="26" t="s">
        <v>135</v>
      </c>
      <c r="E5" s="26" t="s">
        <v>190</v>
      </c>
      <c r="F5" s="15" t="s">
        <v>191</v>
      </c>
    </row>
    <row r="6" ht="15.75" customHeight="1">
      <c r="A6" s="26" t="s">
        <v>34</v>
      </c>
      <c r="B6" s="63">
        <v>45994.0</v>
      </c>
      <c r="C6" s="26" t="s">
        <v>192</v>
      </c>
      <c r="D6" s="26" t="s">
        <v>135</v>
      </c>
      <c r="E6" s="26" t="s">
        <v>193</v>
      </c>
      <c r="F6" s="15" t="s">
        <v>194</v>
      </c>
    </row>
    <row r="7" ht="15.75" customHeight="1">
      <c r="A7" s="26" t="s">
        <v>39</v>
      </c>
      <c r="B7" s="63">
        <v>45994.0</v>
      </c>
      <c r="C7" s="26" t="s">
        <v>195</v>
      </c>
      <c r="D7" s="26" t="s">
        <v>135</v>
      </c>
      <c r="E7" s="26" t="s">
        <v>196</v>
      </c>
      <c r="F7" s="15" t="s">
        <v>197</v>
      </c>
    </row>
    <row r="8" ht="15.75" customHeight="1">
      <c r="A8" s="26" t="s">
        <v>198</v>
      </c>
      <c r="B8" s="63">
        <v>45994.0</v>
      </c>
      <c r="C8" s="26" t="s">
        <v>199</v>
      </c>
      <c r="D8" s="26" t="s">
        <v>135</v>
      </c>
      <c r="E8" s="26" t="s">
        <v>200</v>
      </c>
      <c r="F8" s="15" t="s">
        <v>201</v>
      </c>
    </row>
    <row r="9" ht="15.75" customHeight="1">
      <c r="A9" s="26" t="s">
        <v>47</v>
      </c>
      <c r="B9" s="63">
        <v>45994.0</v>
      </c>
      <c r="C9" s="26" t="s">
        <v>202</v>
      </c>
      <c r="D9" s="26" t="s">
        <v>135</v>
      </c>
      <c r="E9" s="26" t="s">
        <v>203</v>
      </c>
      <c r="F9" s="15" t="s">
        <v>204</v>
      </c>
    </row>
    <row r="10" ht="15.75" customHeight="1">
      <c r="A10" s="26" t="s">
        <v>205</v>
      </c>
      <c r="B10" s="63">
        <v>45994.0</v>
      </c>
      <c r="C10" s="26" t="s">
        <v>206</v>
      </c>
      <c r="D10" s="26" t="s">
        <v>135</v>
      </c>
      <c r="E10" s="26" t="s">
        <v>207</v>
      </c>
      <c r="F10" s="15" t="s">
        <v>208</v>
      </c>
    </row>
    <row r="11" ht="15.75" customHeight="1">
      <c r="A11" s="26" t="s">
        <v>55</v>
      </c>
      <c r="B11" s="63">
        <v>45994.0</v>
      </c>
      <c r="C11" s="26" t="s">
        <v>209</v>
      </c>
      <c r="D11" s="26" t="s">
        <v>135</v>
      </c>
      <c r="E11" s="26" t="s">
        <v>210</v>
      </c>
      <c r="F11" s="15" t="s">
        <v>211</v>
      </c>
    </row>
    <row r="12" ht="15.75" customHeight="1">
      <c r="A12" s="26" t="s">
        <v>212</v>
      </c>
      <c r="B12" s="63">
        <v>45994.0</v>
      </c>
      <c r="C12" s="26" t="s">
        <v>213</v>
      </c>
      <c r="D12" s="26" t="s">
        <v>135</v>
      </c>
      <c r="E12" s="26" t="s">
        <v>214</v>
      </c>
      <c r="F12" s="15" t="s">
        <v>215</v>
      </c>
    </row>
    <row r="13" ht="15.75" customHeight="1">
      <c r="A13" s="25"/>
      <c r="B13" s="25"/>
      <c r="C13" s="25"/>
      <c r="D13" s="25"/>
      <c r="E13" s="25"/>
      <c r="F13" s="25"/>
    </row>
    <row r="14" ht="15.75" customHeight="1">
      <c r="A14" s="25"/>
      <c r="B14" s="25"/>
      <c r="C14" s="25"/>
      <c r="D14" s="25"/>
      <c r="E14" s="25"/>
      <c r="F14" s="25"/>
    </row>
    <row r="15" ht="15.75" customHeight="1">
      <c r="A15" s="25"/>
      <c r="B15" s="25"/>
      <c r="C15" s="25"/>
      <c r="D15" s="25"/>
      <c r="E15" s="25"/>
      <c r="F15" s="25"/>
    </row>
    <row r="16" ht="15.75" customHeight="1">
      <c r="A16" s="25"/>
      <c r="B16" s="25"/>
      <c r="C16" s="25"/>
      <c r="D16" s="25"/>
      <c r="E16" s="25"/>
      <c r="F16" s="25"/>
    </row>
    <row r="17" ht="15.75" customHeight="1">
      <c r="A17" s="25"/>
      <c r="B17" s="25"/>
      <c r="C17" s="25"/>
      <c r="D17" s="25"/>
      <c r="E17" s="25"/>
      <c r="F17" s="25"/>
    </row>
    <row r="18" ht="15.75" customHeight="1">
      <c r="A18" s="25"/>
      <c r="B18" s="25"/>
      <c r="C18" s="25"/>
      <c r="D18" s="25"/>
      <c r="E18" s="25"/>
      <c r="F18" s="25"/>
    </row>
    <row r="19" ht="15.75" customHeight="1">
      <c r="A19" s="25"/>
      <c r="B19" s="25"/>
      <c r="C19" s="25"/>
      <c r="D19" s="25"/>
      <c r="E19" s="25"/>
      <c r="F19" s="25"/>
    </row>
    <row r="20" ht="15.75" customHeight="1">
      <c r="A20" s="25"/>
      <c r="B20" s="25"/>
      <c r="C20" s="25"/>
      <c r="D20" s="25"/>
      <c r="E20" s="25"/>
      <c r="F20" s="25"/>
    </row>
    <row r="21" ht="15.75" customHeight="1">
      <c r="A21" s="25"/>
      <c r="B21" s="25"/>
      <c r="C21" s="25"/>
      <c r="D21" s="25"/>
      <c r="E21" s="25"/>
      <c r="F21" s="25"/>
    </row>
    <row r="22" ht="15.75" customHeight="1">
      <c r="A22" s="25"/>
      <c r="B22" s="25"/>
      <c r="C22" s="25"/>
      <c r="D22" s="25"/>
      <c r="E22" s="25"/>
      <c r="F22" s="25"/>
    </row>
    <row r="23" ht="15.75" customHeight="1">
      <c r="A23" s="25"/>
      <c r="B23" s="25"/>
      <c r="C23" s="25"/>
      <c r="D23" s="25"/>
      <c r="E23" s="25"/>
      <c r="F23" s="25"/>
    </row>
    <row r="24" ht="15.75" customHeight="1">
      <c r="A24" s="25"/>
      <c r="B24" s="25"/>
      <c r="C24" s="25"/>
      <c r="D24" s="25"/>
      <c r="E24" s="25"/>
      <c r="F24" s="25"/>
    </row>
    <row r="25" ht="15.75" customHeight="1">
      <c r="A25" s="25"/>
      <c r="B25" s="25"/>
      <c r="C25" s="25"/>
      <c r="D25" s="25"/>
      <c r="E25" s="25"/>
      <c r="F25" s="25"/>
    </row>
    <row r="26" ht="15.75" customHeight="1">
      <c r="A26" s="25"/>
      <c r="B26" s="25"/>
      <c r="C26" s="25"/>
      <c r="D26" s="25"/>
      <c r="E26" s="25"/>
      <c r="F26" s="25"/>
    </row>
    <row r="27" ht="15.75" customHeight="1">
      <c r="A27" s="25"/>
      <c r="B27" s="25"/>
      <c r="C27" s="25"/>
      <c r="D27" s="25"/>
      <c r="E27" s="25"/>
      <c r="F27" s="25"/>
    </row>
    <row r="28" ht="15.75" customHeight="1">
      <c r="A28" s="25"/>
      <c r="B28" s="25"/>
      <c r="C28" s="25"/>
      <c r="D28" s="25"/>
      <c r="E28" s="25"/>
      <c r="F28" s="25"/>
    </row>
    <row r="29" ht="15.75" customHeight="1">
      <c r="A29" s="25"/>
      <c r="B29" s="25"/>
      <c r="C29" s="25"/>
      <c r="D29" s="25"/>
      <c r="E29" s="25"/>
      <c r="F29" s="25"/>
    </row>
    <row r="30" ht="15.75" customHeight="1">
      <c r="A30" s="25"/>
      <c r="B30" s="25"/>
      <c r="C30" s="25"/>
      <c r="D30" s="25"/>
      <c r="E30" s="25"/>
      <c r="F30" s="25"/>
    </row>
    <row r="31" ht="15.75" customHeight="1">
      <c r="A31" s="25"/>
      <c r="B31" s="25"/>
      <c r="C31" s="25"/>
      <c r="D31" s="25"/>
      <c r="E31" s="25"/>
      <c r="F31" s="25"/>
    </row>
    <row r="32" ht="15.75" customHeight="1">
      <c r="A32" s="25"/>
      <c r="B32" s="25"/>
      <c r="C32" s="25"/>
      <c r="D32" s="25"/>
      <c r="E32" s="25"/>
      <c r="F32" s="25"/>
    </row>
    <row r="33" ht="15.75" customHeight="1">
      <c r="A33" s="25"/>
      <c r="B33" s="25"/>
      <c r="C33" s="25"/>
      <c r="D33" s="25"/>
      <c r="E33" s="25"/>
      <c r="F33" s="25"/>
    </row>
    <row r="34" ht="15.75" customHeight="1">
      <c r="A34" s="25"/>
      <c r="B34" s="25"/>
      <c r="C34" s="25"/>
      <c r="D34" s="25"/>
      <c r="E34" s="25"/>
      <c r="F34" s="25"/>
    </row>
    <row r="35" ht="15.75" customHeight="1">
      <c r="A35" s="25"/>
      <c r="B35" s="25"/>
      <c r="C35" s="25"/>
      <c r="D35" s="25"/>
      <c r="E35" s="25"/>
      <c r="F35" s="25"/>
    </row>
    <row r="36" ht="15.75" customHeight="1">
      <c r="A36" s="25"/>
      <c r="B36" s="25"/>
      <c r="C36" s="25"/>
      <c r="D36" s="25"/>
      <c r="E36" s="25"/>
      <c r="F36" s="25"/>
    </row>
    <row r="37" ht="15.75" customHeight="1">
      <c r="A37" s="25"/>
      <c r="B37" s="25"/>
      <c r="C37" s="25"/>
      <c r="D37" s="25"/>
      <c r="E37" s="25"/>
      <c r="F37" s="25"/>
    </row>
    <row r="38" ht="15.75" customHeight="1">
      <c r="A38" s="25"/>
      <c r="B38" s="25"/>
      <c r="C38" s="25"/>
      <c r="D38" s="25"/>
      <c r="E38" s="25"/>
      <c r="F38" s="25"/>
    </row>
    <row r="39" ht="15.75" customHeight="1">
      <c r="A39" s="25"/>
      <c r="B39" s="25"/>
      <c r="C39" s="25"/>
      <c r="D39" s="25"/>
      <c r="E39" s="25"/>
      <c r="F39" s="25"/>
    </row>
    <row r="40" ht="15.75" customHeight="1">
      <c r="A40" s="25"/>
      <c r="B40" s="25"/>
      <c r="C40" s="25"/>
      <c r="D40" s="25"/>
      <c r="E40" s="25"/>
      <c r="F40" s="25"/>
    </row>
    <row r="41" ht="15.75" customHeight="1">
      <c r="A41" s="25"/>
      <c r="B41" s="25"/>
      <c r="C41" s="25"/>
      <c r="D41" s="25"/>
      <c r="E41" s="25"/>
      <c r="F41" s="25"/>
    </row>
    <row r="42" ht="15.75" customHeight="1">
      <c r="A42" s="25"/>
      <c r="B42" s="25"/>
      <c r="C42" s="25"/>
      <c r="D42" s="25"/>
      <c r="E42" s="25"/>
      <c r="F42" s="25"/>
    </row>
    <row r="43" ht="15.75" customHeight="1">
      <c r="A43" s="25"/>
      <c r="B43" s="25"/>
      <c r="C43" s="25"/>
      <c r="D43" s="25"/>
      <c r="E43" s="25"/>
      <c r="F43" s="25"/>
    </row>
    <row r="44" ht="15.75" customHeight="1">
      <c r="A44" s="25"/>
      <c r="B44" s="25"/>
      <c r="C44" s="25"/>
      <c r="D44" s="25"/>
      <c r="E44" s="25"/>
      <c r="F44" s="25"/>
    </row>
    <row r="45" ht="15.75" customHeight="1">
      <c r="A45" s="25"/>
      <c r="B45" s="25"/>
      <c r="C45" s="25"/>
      <c r="D45" s="25"/>
      <c r="E45" s="25"/>
      <c r="F45" s="25"/>
    </row>
    <row r="46" ht="15.75" customHeight="1">
      <c r="A46" s="25"/>
      <c r="B46" s="25"/>
      <c r="C46" s="25"/>
      <c r="D46" s="25"/>
      <c r="E46" s="25"/>
      <c r="F46" s="25"/>
    </row>
    <row r="47" ht="15.75" customHeight="1">
      <c r="A47" s="25"/>
      <c r="B47" s="25"/>
      <c r="C47" s="25"/>
      <c r="D47" s="25"/>
      <c r="E47" s="25"/>
      <c r="F47" s="25"/>
    </row>
    <row r="48" ht="15.75" customHeight="1">
      <c r="A48" s="25"/>
      <c r="B48" s="25"/>
      <c r="C48" s="25"/>
      <c r="D48" s="25"/>
      <c r="E48" s="25"/>
      <c r="F48" s="25"/>
    </row>
    <row r="49" ht="15.75" customHeight="1">
      <c r="A49" s="25"/>
      <c r="B49" s="25"/>
      <c r="C49" s="25"/>
      <c r="D49" s="25"/>
      <c r="E49" s="25"/>
      <c r="F49" s="25"/>
    </row>
    <row r="50" ht="15.75" customHeight="1">
      <c r="A50" s="25"/>
      <c r="B50" s="25"/>
      <c r="C50" s="25"/>
      <c r="D50" s="25"/>
      <c r="E50" s="25"/>
      <c r="F50" s="25"/>
    </row>
    <row r="51" ht="15.75" customHeight="1">
      <c r="A51" s="25"/>
      <c r="B51" s="25"/>
      <c r="C51" s="25"/>
      <c r="D51" s="25"/>
      <c r="E51" s="25"/>
      <c r="F51" s="25"/>
    </row>
    <row r="52" ht="15.75" customHeight="1">
      <c r="A52" s="25"/>
      <c r="B52" s="25"/>
      <c r="C52" s="25"/>
      <c r="D52" s="25"/>
      <c r="E52" s="25"/>
      <c r="F52" s="25"/>
    </row>
    <row r="53" ht="15.75" customHeight="1">
      <c r="A53" s="25"/>
      <c r="B53" s="25"/>
      <c r="C53" s="25"/>
      <c r="D53" s="25"/>
      <c r="E53" s="25"/>
      <c r="F53" s="25"/>
    </row>
    <row r="54" ht="15.75" customHeight="1">
      <c r="A54" s="25"/>
      <c r="B54" s="25"/>
      <c r="C54" s="25"/>
      <c r="D54" s="25"/>
      <c r="E54" s="25"/>
      <c r="F54" s="25"/>
    </row>
    <row r="55" ht="15.75" customHeight="1">
      <c r="A55" s="25"/>
      <c r="B55" s="25"/>
      <c r="C55" s="25"/>
      <c r="D55" s="25"/>
      <c r="E55" s="25"/>
      <c r="F55" s="25"/>
    </row>
    <row r="56" ht="15.75" customHeight="1">
      <c r="A56" s="25"/>
      <c r="B56" s="25"/>
      <c r="C56" s="25"/>
      <c r="D56" s="25"/>
      <c r="E56" s="25"/>
      <c r="F56" s="25"/>
    </row>
    <row r="57" ht="15.75" customHeight="1">
      <c r="A57" s="25"/>
      <c r="B57" s="25"/>
      <c r="C57" s="25"/>
      <c r="D57" s="25"/>
      <c r="E57" s="25"/>
      <c r="F57" s="25"/>
    </row>
    <row r="58" ht="15.75" customHeight="1">
      <c r="A58" s="25"/>
      <c r="B58" s="25"/>
      <c r="C58" s="25"/>
      <c r="D58" s="25"/>
      <c r="E58" s="25"/>
      <c r="F58" s="25"/>
    </row>
    <row r="59" ht="15.75" customHeight="1">
      <c r="A59" s="25"/>
      <c r="B59" s="25"/>
      <c r="C59" s="25"/>
      <c r="D59" s="25"/>
      <c r="E59" s="25"/>
      <c r="F59" s="25"/>
    </row>
    <row r="60" ht="15.75" customHeight="1">
      <c r="A60" s="25"/>
      <c r="B60" s="25"/>
      <c r="C60" s="25"/>
      <c r="D60" s="25"/>
      <c r="E60" s="25"/>
      <c r="F60" s="25"/>
    </row>
    <row r="61" ht="15.75" customHeight="1">
      <c r="A61" s="25"/>
      <c r="B61" s="25"/>
      <c r="C61" s="25"/>
      <c r="D61" s="25"/>
      <c r="E61" s="25"/>
      <c r="F61" s="25"/>
    </row>
    <row r="62" ht="15.75" customHeight="1">
      <c r="A62" s="25"/>
      <c r="B62" s="25"/>
      <c r="C62" s="25"/>
      <c r="D62" s="25"/>
      <c r="E62" s="25"/>
      <c r="F62" s="25"/>
    </row>
    <row r="63" ht="15.75" customHeight="1">
      <c r="A63" s="25"/>
      <c r="B63" s="25"/>
      <c r="C63" s="25"/>
      <c r="D63" s="25"/>
      <c r="E63" s="25"/>
      <c r="F63" s="25"/>
    </row>
    <row r="64" ht="15.75" customHeight="1">
      <c r="A64" s="25"/>
      <c r="B64" s="25"/>
      <c r="C64" s="25"/>
      <c r="D64" s="25"/>
      <c r="E64" s="25"/>
      <c r="F64" s="25"/>
    </row>
    <row r="65" ht="15.75" customHeight="1">
      <c r="A65" s="25"/>
      <c r="B65" s="25"/>
      <c r="C65" s="25"/>
      <c r="D65" s="25"/>
      <c r="E65" s="25"/>
      <c r="F65" s="25"/>
    </row>
    <row r="66" ht="15.75" customHeight="1">
      <c r="A66" s="25"/>
      <c r="B66" s="25"/>
      <c r="C66" s="25"/>
      <c r="D66" s="25"/>
      <c r="E66" s="25"/>
      <c r="F66" s="25"/>
    </row>
    <row r="67" ht="15.75" customHeight="1">
      <c r="A67" s="25"/>
      <c r="B67" s="25"/>
      <c r="C67" s="25"/>
      <c r="D67" s="25"/>
      <c r="E67" s="25"/>
      <c r="F67" s="25"/>
    </row>
    <row r="68" ht="15.75" customHeight="1">
      <c r="A68" s="25"/>
      <c r="B68" s="25"/>
      <c r="C68" s="25"/>
      <c r="D68" s="25"/>
      <c r="E68" s="25"/>
      <c r="F68" s="25"/>
    </row>
    <row r="69" ht="15.75" customHeight="1">
      <c r="A69" s="25"/>
      <c r="B69" s="25"/>
      <c r="C69" s="25"/>
      <c r="D69" s="25"/>
      <c r="E69" s="25"/>
      <c r="F69" s="25"/>
    </row>
    <row r="70" ht="15.75" customHeight="1">
      <c r="A70" s="25"/>
      <c r="B70" s="25"/>
      <c r="C70" s="25"/>
      <c r="D70" s="25"/>
      <c r="E70" s="25"/>
      <c r="F70" s="25"/>
    </row>
    <row r="71" ht="15.75" customHeight="1">
      <c r="A71" s="25"/>
      <c r="B71" s="25"/>
      <c r="C71" s="25"/>
      <c r="D71" s="25"/>
      <c r="E71" s="25"/>
      <c r="F71" s="25"/>
    </row>
    <row r="72" ht="15.75" customHeight="1">
      <c r="A72" s="25"/>
      <c r="B72" s="25"/>
      <c r="C72" s="25"/>
      <c r="D72" s="25"/>
      <c r="E72" s="25"/>
      <c r="F72" s="25"/>
    </row>
    <row r="73" ht="15.75" customHeight="1">
      <c r="A73" s="25"/>
      <c r="B73" s="25"/>
      <c r="C73" s="25"/>
      <c r="D73" s="25"/>
      <c r="E73" s="25"/>
      <c r="F73" s="25"/>
    </row>
    <row r="74" ht="15.75" customHeight="1">
      <c r="A74" s="25"/>
      <c r="B74" s="25"/>
      <c r="C74" s="25"/>
      <c r="D74" s="25"/>
      <c r="E74" s="25"/>
      <c r="F74" s="25"/>
    </row>
    <row r="75" ht="15.75" customHeight="1">
      <c r="A75" s="25"/>
      <c r="B75" s="25"/>
      <c r="C75" s="25"/>
      <c r="D75" s="25"/>
      <c r="E75" s="25"/>
      <c r="F75" s="25"/>
    </row>
    <row r="76" ht="15.75" customHeight="1">
      <c r="A76" s="25"/>
      <c r="B76" s="25"/>
      <c r="C76" s="25"/>
      <c r="D76" s="25"/>
      <c r="E76" s="25"/>
      <c r="F76" s="25"/>
    </row>
    <row r="77" ht="15.75" customHeight="1">
      <c r="A77" s="25"/>
      <c r="B77" s="25"/>
      <c r="C77" s="25"/>
      <c r="D77" s="25"/>
      <c r="E77" s="25"/>
      <c r="F77" s="25"/>
    </row>
    <row r="78" ht="15.75" customHeight="1">
      <c r="A78" s="25"/>
      <c r="B78" s="25"/>
      <c r="C78" s="25"/>
      <c r="D78" s="25"/>
      <c r="E78" s="25"/>
      <c r="F78" s="25"/>
    </row>
    <row r="79" ht="15.75" customHeight="1">
      <c r="A79" s="25"/>
      <c r="B79" s="25"/>
      <c r="C79" s="25"/>
      <c r="D79" s="25"/>
      <c r="E79" s="25"/>
      <c r="F79" s="25"/>
    </row>
    <row r="80" ht="15.75" customHeight="1">
      <c r="A80" s="25"/>
      <c r="B80" s="25"/>
      <c r="C80" s="25"/>
      <c r="D80" s="25"/>
      <c r="E80" s="25"/>
      <c r="F80" s="25"/>
    </row>
    <row r="81" ht="15.75" customHeight="1">
      <c r="A81" s="25"/>
      <c r="B81" s="25"/>
      <c r="C81" s="25"/>
      <c r="D81" s="25"/>
      <c r="E81" s="25"/>
      <c r="F81" s="25"/>
    </row>
    <row r="82" ht="15.75" customHeight="1">
      <c r="A82" s="25"/>
      <c r="B82" s="25"/>
      <c r="C82" s="25"/>
      <c r="D82" s="25"/>
      <c r="E82" s="25"/>
      <c r="F82" s="25"/>
    </row>
    <row r="83" ht="15.75" customHeight="1">
      <c r="A83" s="25"/>
      <c r="B83" s="25"/>
      <c r="C83" s="25"/>
      <c r="D83" s="25"/>
      <c r="E83" s="25"/>
      <c r="F83" s="25"/>
    </row>
    <row r="84" ht="15.75" customHeight="1">
      <c r="A84" s="25"/>
      <c r="B84" s="25"/>
      <c r="C84" s="25"/>
      <c r="D84" s="25"/>
      <c r="E84" s="25"/>
      <c r="F84" s="25"/>
    </row>
    <row r="85" ht="15.75" customHeight="1">
      <c r="A85" s="25"/>
      <c r="B85" s="25"/>
      <c r="C85" s="25"/>
      <c r="D85" s="25"/>
      <c r="E85" s="25"/>
      <c r="F85" s="25"/>
    </row>
    <row r="86" ht="15.75" customHeight="1">
      <c r="A86" s="25"/>
      <c r="B86" s="25"/>
      <c r="C86" s="25"/>
      <c r="D86" s="25"/>
      <c r="E86" s="25"/>
      <c r="F86" s="25"/>
    </row>
    <row r="87" ht="15.75" customHeight="1">
      <c r="A87" s="25"/>
      <c r="B87" s="25"/>
      <c r="C87" s="25"/>
      <c r="D87" s="25"/>
      <c r="E87" s="25"/>
      <c r="F87" s="25"/>
    </row>
    <row r="88" ht="15.75" customHeight="1">
      <c r="A88" s="25"/>
      <c r="B88" s="25"/>
      <c r="C88" s="25"/>
      <c r="D88" s="25"/>
      <c r="E88" s="25"/>
      <c r="F88" s="25"/>
    </row>
    <row r="89" ht="15.75" customHeight="1">
      <c r="A89" s="25"/>
      <c r="B89" s="25"/>
      <c r="C89" s="25"/>
      <c r="D89" s="25"/>
      <c r="E89" s="25"/>
      <c r="F89" s="25"/>
    </row>
    <row r="90" ht="15.75" customHeight="1">
      <c r="A90" s="25"/>
      <c r="B90" s="25"/>
      <c r="C90" s="25"/>
      <c r="D90" s="25"/>
      <c r="E90" s="25"/>
      <c r="F90" s="25"/>
    </row>
    <row r="91" ht="15.75" customHeight="1">
      <c r="A91" s="25"/>
      <c r="B91" s="25"/>
      <c r="C91" s="25"/>
      <c r="D91" s="25"/>
      <c r="E91" s="25"/>
      <c r="F91" s="25"/>
    </row>
    <row r="92" ht="15.75" customHeight="1">
      <c r="A92" s="25"/>
      <c r="B92" s="25"/>
      <c r="C92" s="25"/>
      <c r="D92" s="25"/>
      <c r="E92" s="25"/>
      <c r="F92" s="25"/>
    </row>
    <row r="93" ht="15.75" customHeight="1">
      <c r="A93" s="25"/>
      <c r="B93" s="25"/>
      <c r="C93" s="25"/>
      <c r="D93" s="25"/>
      <c r="E93" s="25"/>
      <c r="F93" s="25"/>
    </row>
    <row r="94" ht="15.75" customHeight="1">
      <c r="A94" s="25"/>
      <c r="B94" s="25"/>
      <c r="C94" s="25"/>
      <c r="D94" s="25"/>
      <c r="E94" s="25"/>
      <c r="F94" s="25"/>
    </row>
    <row r="95" ht="15.75" customHeight="1">
      <c r="A95" s="25"/>
      <c r="B95" s="25"/>
      <c r="C95" s="25"/>
      <c r="D95" s="25"/>
      <c r="E95" s="25"/>
      <c r="F95" s="25"/>
    </row>
    <row r="96" ht="15.75" customHeight="1">
      <c r="A96" s="25"/>
      <c r="B96" s="25"/>
      <c r="C96" s="25"/>
      <c r="D96" s="25"/>
      <c r="E96" s="25"/>
      <c r="F96" s="25"/>
    </row>
    <row r="97" ht="15.75" customHeight="1">
      <c r="A97" s="25"/>
      <c r="B97" s="25"/>
      <c r="C97" s="25"/>
      <c r="D97" s="25"/>
      <c r="E97" s="25"/>
      <c r="F97" s="25"/>
    </row>
    <row r="98" ht="15.75" customHeight="1">
      <c r="A98" s="25"/>
      <c r="B98" s="25"/>
      <c r="C98" s="25"/>
      <c r="D98" s="25"/>
      <c r="E98" s="25"/>
      <c r="F98" s="25"/>
    </row>
    <row r="99" ht="15.75" customHeight="1">
      <c r="A99" s="25"/>
      <c r="B99" s="25"/>
      <c r="C99" s="25"/>
      <c r="D99" s="25"/>
      <c r="E99" s="25"/>
      <c r="F99" s="25"/>
    </row>
    <row r="100" ht="15.75" customHeight="1">
      <c r="A100" s="25"/>
      <c r="B100" s="25"/>
      <c r="C100" s="25"/>
      <c r="D100" s="25"/>
      <c r="E100" s="25"/>
      <c r="F100" s="25"/>
    </row>
    <row r="101" ht="15.75" customHeight="1">
      <c r="A101" s="25"/>
      <c r="B101" s="25"/>
      <c r="C101" s="25"/>
      <c r="D101" s="25"/>
      <c r="E101" s="25"/>
      <c r="F101" s="25"/>
    </row>
    <row r="102" ht="15.75" customHeight="1">
      <c r="A102" s="25"/>
      <c r="B102" s="25"/>
      <c r="C102" s="25"/>
      <c r="D102" s="25"/>
      <c r="E102" s="25"/>
      <c r="F102" s="25"/>
    </row>
    <row r="103" ht="15.75" customHeight="1">
      <c r="A103" s="25"/>
      <c r="B103" s="25"/>
      <c r="C103" s="25"/>
      <c r="D103" s="25"/>
      <c r="E103" s="25"/>
      <c r="F103" s="25"/>
    </row>
    <row r="104" ht="15.75" customHeight="1">
      <c r="A104" s="25"/>
      <c r="B104" s="25"/>
      <c r="C104" s="25"/>
      <c r="D104" s="25"/>
      <c r="E104" s="25"/>
      <c r="F104" s="25"/>
    </row>
    <row r="105" ht="15.75" customHeight="1">
      <c r="A105" s="25"/>
      <c r="B105" s="25"/>
      <c r="C105" s="25"/>
      <c r="D105" s="25"/>
      <c r="E105" s="25"/>
      <c r="F105" s="25"/>
    </row>
    <row r="106" ht="15.75" customHeight="1">
      <c r="A106" s="25"/>
      <c r="B106" s="25"/>
      <c r="C106" s="25"/>
      <c r="D106" s="25"/>
      <c r="E106" s="25"/>
      <c r="F106" s="25"/>
    </row>
    <row r="107" ht="15.75" customHeight="1">
      <c r="A107" s="25"/>
      <c r="B107" s="25"/>
      <c r="C107" s="25"/>
      <c r="D107" s="25"/>
      <c r="E107" s="25"/>
      <c r="F107" s="25"/>
    </row>
    <row r="108" ht="15.75" customHeight="1">
      <c r="A108" s="25"/>
      <c r="B108" s="25"/>
      <c r="C108" s="25"/>
      <c r="D108" s="25"/>
      <c r="E108" s="25"/>
      <c r="F108" s="25"/>
    </row>
    <row r="109" ht="15.75" customHeight="1">
      <c r="A109" s="25"/>
      <c r="B109" s="25"/>
      <c r="C109" s="25"/>
      <c r="D109" s="25"/>
      <c r="E109" s="25"/>
      <c r="F109" s="25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67.38"/>
    <col customWidth="1" min="3" max="6" width="12.63"/>
  </cols>
  <sheetData>
    <row r="1">
      <c r="A1" s="64" t="s">
        <v>216</v>
      </c>
      <c r="B1" s="64" t="s">
        <v>217</v>
      </c>
    </row>
    <row r="2">
      <c r="A2" s="25"/>
      <c r="B2" s="25"/>
    </row>
    <row r="3">
      <c r="A3" s="25"/>
      <c r="B3" s="25"/>
    </row>
    <row r="4">
      <c r="A4" s="25"/>
      <c r="B4" s="25"/>
    </row>
    <row r="5">
      <c r="A5" s="25"/>
      <c r="B5" s="25"/>
    </row>
    <row r="6">
      <c r="A6" s="25"/>
      <c r="B6" s="25"/>
    </row>
    <row r="7">
      <c r="A7" s="25"/>
      <c r="B7" s="25"/>
    </row>
    <row r="8">
      <c r="A8" s="25"/>
      <c r="B8" s="25"/>
    </row>
    <row r="9">
      <c r="A9" s="25"/>
      <c r="B9" s="25"/>
    </row>
    <row r="10">
      <c r="A10" s="25"/>
      <c r="B10" s="25"/>
    </row>
    <row r="11">
      <c r="A11" s="25"/>
      <c r="B11" s="25"/>
    </row>
    <row r="12">
      <c r="A12" s="25"/>
      <c r="B12" s="25"/>
    </row>
    <row r="13">
      <c r="A13" s="25"/>
      <c r="B13" s="25"/>
    </row>
    <row r="14">
      <c r="A14" s="25"/>
      <c r="B14" s="25"/>
    </row>
    <row r="15">
      <c r="A15" s="25"/>
      <c r="B15" s="25"/>
    </row>
    <row r="16">
      <c r="A16" s="25"/>
      <c r="B16" s="25"/>
    </row>
    <row r="17">
      <c r="A17" s="25"/>
      <c r="B17" s="25"/>
    </row>
    <row r="18">
      <c r="A18" s="25"/>
      <c r="B18" s="25"/>
    </row>
    <row r="19">
      <c r="A19" s="25"/>
      <c r="B19" s="25"/>
    </row>
    <row r="20">
      <c r="A20" s="25"/>
      <c r="B20" s="25"/>
    </row>
    <row r="21" ht="15.75" customHeight="1">
      <c r="A21" s="25"/>
      <c r="B21" s="25"/>
    </row>
    <row r="22" ht="15.75" customHeight="1">
      <c r="A22" s="25"/>
      <c r="B22" s="25"/>
    </row>
    <row r="23" ht="15.75" customHeight="1">
      <c r="A23" s="25"/>
      <c r="B23" s="25"/>
    </row>
    <row r="24" ht="15.75" customHeight="1">
      <c r="A24" s="25"/>
      <c r="B24" s="25"/>
    </row>
    <row r="25" ht="15.75" customHeight="1">
      <c r="A25" s="25"/>
      <c r="B25" s="25"/>
    </row>
    <row r="26" ht="15.75" customHeight="1">
      <c r="A26" s="25"/>
      <c r="B26" s="25"/>
    </row>
    <row r="27" ht="15.75" customHeight="1">
      <c r="A27" s="25"/>
      <c r="B27" s="25"/>
    </row>
    <row r="28" ht="15.75" customHeight="1">
      <c r="A28" s="25"/>
      <c r="B28" s="25"/>
    </row>
    <row r="29" ht="15.75" customHeight="1">
      <c r="A29" s="25"/>
      <c r="B29" s="25"/>
    </row>
    <row r="30" ht="15.75" customHeight="1">
      <c r="A30" s="25"/>
      <c r="B30" s="25"/>
    </row>
    <row r="31" ht="15.75" customHeight="1">
      <c r="A31" s="25"/>
      <c r="B31" s="25"/>
    </row>
    <row r="32" ht="15.75" customHeight="1">
      <c r="A32" s="25"/>
      <c r="B32" s="25"/>
    </row>
    <row r="33" ht="15.75" customHeight="1">
      <c r="A33" s="25"/>
      <c r="B33" s="25"/>
    </row>
    <row r="34" ht="15.75" customHeight="1">
      <c r="A34" s="25"/>
      <c r="B34" s="25"/>
    </row>
    <row r="35" ht="15.75" customHeight="1">
      <c r="A35" s="25"/>
      <c r="B35" s="25"/>
    </row>
    <row r="36" ht="15.75" customHeight="1">
      <c r="A36" s="25"/>
      <c r="B36" s="25"/>
    </row>
    <row r="37" ht="15.75" customHeight="1">
      <c r="A37" s="25"/>
      <c r="B37" s="2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